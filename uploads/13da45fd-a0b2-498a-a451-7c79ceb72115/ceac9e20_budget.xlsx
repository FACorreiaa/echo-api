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C DOM_2025" sheetId="1" r:id="rId4"/>
    <sheet state="hidden" name="OBJ_2026" sheetId="2" r:id="rId5"/>
    <sheet state="hidden" name="RESUMO" sheetId="3" r:id="rId6"/>
    <sheet state="visible" name="BITCOIN_2025" sheetId="4" r:id="rId7"/>
    <sheet state="hidden" name="Carro_25" sheetId="5" r:id="rId8"/>
    <sheet state="hidden" name="Benefícios" sheetId="6" r:id="rId9"/>
    <sheet state="visible" name="Como Gasto" sheetId="7" r:id="rId10"/>
    <sheet state="visible" name="Rec x Desp" sheetId="8" r:id="rId11"/>
    <sheet state="hidden" name="Boleto Pessoal" sheetId="9" r:id="rId12"/>
    <sheet state="visible" name="Habitação" sheetId="10" r:id="rId13"/>
    <sheet state="hidden" name="Dívidas" sheetId="11" r:id="rId14"/>
    <sheet state="hidden" name="Saúde" sheetId="12" r:id="rId15"/>
    <sheet state="hidden" name="Transporte" sheetId="13" r:id="rId16"/>
    <sheet state="visible" name="Desp Pessoais" sheetId="14" r:id="rId17"/>
    <sheet state="hidden" name="Educação" sheetId="15" r:id="rId18"/>
    <sheet state="hidden" name="Lazer" sheetId="16" r:id="rId19"/>
    <sheet state="hidden" name="Outros" sheetId="17" r:id="rId20"/>
    <sheet state="hidden" name="Dados" sheetId="18" r:id="rId21"/>
  </sheets>
  <definedNames/>
  <calcPr/>
  <extLst>
    <ext uri="GoogleSheetsCustomDataVersion2">
      <go:sheetsCustomData xmlns:go="http://customooxmlschemas.google.com/" r:id="rId22" roundtripDataChecksum="/0e22uuZeOgh/Lb2djsfatCJHgNC0+/ib6z5Auturx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8">
      <text>
        <t xml:space="preserve">======
ID#AAAAQvbokN0
tc={C9A162DA-D09B-4FAE-A7B6-791C8EDF1AC9}    (2021-11-03 18:07:16)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Essa linha indicará o quanto você precisa fazer de renda extra, caso o seu saldo disponível no mês fique negativo. As células ficarão em vermelho quando isso ocorrer.</t>
      </text>
    </comment>
  </commentList>
  <extLst>
    <ext uri="GoogleSheetsCustomDataVersion2">
      <go:sheetsCustomData xmlns:go="http://customooxmlschemas.google.com/" r:id="rId1" roundtripDataSignature="AMtx7mgFYPOqfdXd0KBrSMf1EFZAUrQmZQ=="/>
    </ext>
  </extLst>
</comments>
</file>

<file path=xl/sharedStrings.xml><?xml version="1.0" encoding="utf-8"?>
<sst xmlns="http://schemas.openxmlformats.org/spreadsheetml/2006/main" count="555" uniqueCount="308">
  <si>
    <t>ORÇAMENTO DOMÉSTICO</t>
  </si>
  <si>
    <t>MESES DO ANO</t>
  </si>
  <si>
    <t>%</t>
  </si>
  <si>
    <t>TOTAL ANO</t>
  </si>
  <si>
    <t xml:space="preserve">Receitas Fixas </t>
  </si>
  <si>
    <t>ATUAL</t>
  </si>
  <si>
    <t>SO FIXO</t>
  </si>
  <si>
    <t>60% TOTAL</t>
  </si>
  <si>
    <t>50% TT + COMPRAS CASA</t>
  </si>
  <si>
    <t>Fonte de Renda 1 (Líquido) - dia 1</t>
  </si>
  <si>
    <t>Pensão meninas</t>
  </si>
  <si>
    <t>Outros (Seg Social) - dia 16</t>
  </si>
  <si>
    <t>Vale refeição Norma</t>
  </si>
  <si>
    <t>Vale refeição Fernando</t>
  </si>
  <si>
    <t xml:space="preserve"> </t>
  </si>
  <si>
    <t>Apoio Fernando</t>
  </si>
  <si>
    <t xml:space="preserve">Total Receitas Fixas </t>
  </si>
  <si>
    <t>Receitas Variáveis Não Tributadas</t>
  </si>
  <si>
    <t>13o. Salário Líquido</t>
  </si>
  <si>
    <t>Férias</t>
  </si>
  <si>
    <t xml:space="preserve">Bônus e extras </t>
  </si>
  <si>
    <t>Total Receitas Variáveis</t>
  </si>
  <si>
    <t>Renda Total</t>
  </si>
  <si>
    <t xml:space="preserve">BOLETO PESSOAL </t>
  </si>
  <si>
    <t>META - 1 ano ( pagar divida bitcoin)</t>
  </si>
  <si>
    <t xml:space="preserve">META - 1 ano (quitação do carro) </t>
  </si>
  <si>
    <t>META - 1 ano  (Viagem Brasil)</t>
  </si>
  <si>
    <t>META - 8 meses ( Férias Verão)</t>
  </si>
  <si>
    <t>METONA ( Casa Própria - 10 anos )</t>
  </si>
  <si>
    <t>METAZONA ( Aposentadoria - 30 anos )</t>
  </si>
  <si>
    <t>TOTAL BOLETO PESSOAL (30%)</t>
  </si>
  <si>
    <t>HABITAÇÃO</t>
  </si>
  <si>
    <t>Aluguel</t>
  </si>
  <si>
    <t>Condomínio</t>
  </si>
  <si>
    <t>IPTU</t>
  </si>
  <si>
    <t>Conta de água</t>
  </si>
  <si>
    <t>Conta de energia - 09</t>
  </si>
  <si>
    <t>Seguro Residencial</t>
  </si>
  <si>
    <t>Conta de gás</t>
  </si>
  <si>
    <t>Celular+TV+internet</t>
  </si>
  <si>
    <t>Celular</t>
  </si>
  <si>
    <t xml:space="preserve">Amazon Prime / Netflix </t>
  </si>
  <si>
    <t>Supermercado</t>
  </si>
  <si>
    <t>Feira</t>
  </si>
  <si>
    <t>Açougue</t>
  </si>
  <si>
    <t>Faxineira</t>
  </si>
  <si>
    <t xml:space="preserve">DIVÍDAS </t>
  </si>
  <si>
    <t>Financiamento carro</t>
  </si>
  <si>
    <t xml:space="preserve">Cheque especial </t>
  </si>
  <si>
    <t xml:space="preserve">Empréstimo consignado </t>
  </si>
  <si>
    <t xml:space="preserve">Cartão de crédito em atraso </t>
  </si>
  <si>
    <t xml:space="preserve">Tributos atrasados </t>
  </si>
  <si>
    <t>Outros (IPCA)</t>
  </si>
  <si>
    <t>SAÚDE</t>
  </si>
  <si>
    <t>Plano de Saúde</t>
  </si>
  <si>
    <t>Médicos e terapeutas</t>
  </si>
  <si>
    <t>Dentista</t>
  </si>
  <si>
    <t>Farmácia</t>
  </si>
  <si>
    <t>Outros, se houver</t>
  </si>
  <si>
    <t>TRANSPORTE</t>
  </si>
  <si>
    <t>Licenciamento + multas</t>
  </si>
  <si>
    <t>IUC</t>
  </si>
  <si>
    <t>Seguro</t>
  </si>
  <si>
    <t>Combustível/metro</t>
  </si>
  <si>
    <t>Cartao Andante</t>
  </si>
  <si>
    <t>Lavagens</t>
  </si>
  <si>
    <t>Mecânico / Certificacao anual</t>
  </si>
  <si>
    <t>Multas</t>
  </si>
  <si>
    <t>Pedágios + tag</t>
  </si>
  <si>
    <t>Táxi</t>
  </si>
  <si>
    <t>Apps de carro</t>
  </si>
  <si>
    <t>DESPESAS PESSOAIS</t>
  </si>
  <si>
    <t>Material escolar</t>
  </si>
  <si>
    <t>Higiene Pessoal (unha, depilação etc.)</t>
  </si>
  <si>
    <t>Cosméticos</t>
  </si>
  <si>
    <t>Cabeleireiro</t>
  </si>
  <si>
    <t>Vestuário</t>
  </si>
  <si>
    <t>Academia Sophia</t>
  </si>
  <si>
    <t>Seguro de Vida</t>
  </si>
  <si>
    <t>Academia Norma</t>
  </si>
  <si>
    <t>Outros - cama (cartão)</t>
  </si>
  <si>
    <t>Total Despesas Essenciais (55%)</t>
  </si>
  <si>
    <t>EDUCAÇÃO</t>
  </si>
  <si>
    <t>Cursos Extra Curriculares</t>
  </si>
  <si>
    <t>Ingles</t>
  </si>
  <si>
    <t>Mestrado IPCA</t>
  </si>
  <si>
    <t>Total Despesas Educação (5%)</t>
  </si>
  <si>
    <t>LAZER</t>
  </si>
  <si>
    <t>Restaurantes</t>
  </si>
  <si>
    <t>Cafés, bares e boates</t>
  </si>
  <si>
    <t>Livraria, jornais e revistas</t>
  </si>
  <si>
    <t>Spotify, música e outros</t>
  </si>
  <si>
    <t>Passeios</t>
  </si>
  <si>
    <t>Outros</t>
  </si>
  <si>
    <t>OUTROS</t>
  </si>
  <si>
    <t>Tarifas Bancárias</t>
  </si>
  <si>
    <t>Ajuda aos pais</t>
  </si>
  <si>
    <t>Gorjetas / caixinhas</t>
  </si>
  <si>
    <t>Doações e dízimos</t>
  </si>
  <si>
    <t>Extras diários</t>
  </si>
  <si>
    <t>Manutenção e reparos</t>
  </si>
  <si>
    <t>Médicos e terapeutas esporádicos</t>
  </si>
  <si>
    <t xml:space="preserve">Remédios </t>
  </si>
  <si>
    <t>Dedetização</t>
  </si>
  <si>
    <t>Presente de Natal</t>
  </si>
  <si>
    <t>Presentes do Mês</t>
  </si>
  <si>
    <t>Utilidades domésticas e decoração</t>
  </si>
  <si>
    <t>Manutenção Veículo</t>
  </si>
  <si>
    <t>Total Gastos livres (10%)</t>
  </si>
  <si>
    <t xml:space="preserve">Total Despesas </t>
  </si>
  <si>
    <t>INFLAÇÃO FAMILIAR TOTAL DESPESA NO ANO</t>
  </si>
  <si>
    <t>Saldo Disponível no mês</t>
  </si>
  <si>
    <t xml:space="preserve">RENDA EXTRA A FAZER </t>
  </si>
  <si>
    <t>Valores Alvos</t>
  </si>
  <si>
    <t>Despesas Essenciais (55%)</t>
  </si>
  <si>
    <t>Despesas Educação (5%)</t>
  </si>
  <si>
    <t>Gastos livres (10%)</t>
  </si>
  <si>
    <t>Boleto Pessoal (30%)</t>
  </si>
  <si>
    <t>ESTA PLANILHA ESTÁ PROTEGIDA PARA EVITAR PERDAS ACIDENTAIS DE FÓRMULAS. Para desprotegê-la, clique em Revisão, Desproteger Planilha.</t>
  </si>
  <si>
    <t>SALARIO BASE</t>
  </si>
  <si>
    <t>OBJETIVO</t>
  </si>
  <si>
    <t>ESTRATEGIA</t>
  </si>
  <si>
    <t>VALOR</t>
  </si>
  <si>
    <t>ATE</t>
  </si>
  <si>
    <t>Ganhos liquidos acima 2500 euros/mes</t>
  </si>
  <si>
    <t>Empreender - Vinhos verdes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</si>
  <si>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</si>
  <si>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</si>
  <si>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</si>
  <si>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</si>
  <si>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</si>
  <si>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</si>
  <si>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</si>
  <si>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</si>
  <si>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</si>
  <si>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</si>
  <si>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TOTAL</t>
  </si>
  <si>
    <t>Salario</t>
  </si>
  <si>
    <t>anual</t>
  </si>
  <si>
    <t>mensal</t>
  </si>
  <si>
    <t>Buscar trabalho com maior ganho</t>
  </si>
  <si>
    <t>TOTAL DA DIVIDA</t>
  </si>
  <si>
    <t>base</t>
  </si>
  <si>
    <t>Fazer trabalho extra</t>
  </si>
  <si>
    <t>comissões</t>
  </si>
  <si>
    <t>ATÉ JUL/27</t>
  </si>
  <si>
    <t>desempenho</t>
  </si>
  <si>
    <t>Quitação carro Nissan Juke</t>
  </si>
  <si>
    <t>Aplicar bitcoin - 244 por 6 meses</t>
  </si>
  <si>
    <t>julho</t>
  </si>
  <si>
    <t>horario</t>
  </si>
  <si>
    <t>Aplicar bitcoin - 244 por 6 meses+premio</t>
  </si>
  <si>
    <t>dezembro</t>
  </si>
  <si>
    <t>Previdencia</t>
  </si>
  <si>
    <t>Presente mae ( Portugal)</t>
  </si>
  <si>
    <t>abril a julho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</si>
  <si>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</si>
  <si>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</si>
  <si>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</si>
  <si>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</si>
  <si>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</si>
  <si>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</si>
  <si>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</si>
  <si>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</si>
  <si>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</si>
  <si>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</si>
  <si>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</si>
  <si>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</si>
  <si>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liquido</t>
  </si>
  <si>
    <t>total ano</t>
  </si>
  <si>
    <t>VR</t>
  </si>
  <si>
    <t xml:space="preserve">Férias com mae/filhas </t>
  </si>
  <si>
    <t>Férias Verão (Ago/Set )</t>
  </si>
  <si>
    <t>agosto</t>
  </si>
  <si>
    <t>total mes</t>
  </si>
  <si>
    <t>total ferias/natal</t>
  </si>
  <si>
    <t>VIAJAR COM MENINAS</t>
  </si>
  <si>
    <t>13 salario</t>
  </si>
  <si>
    <t>a pagar</t>
  </si>
  <si>
    <t>sera pago mensal</t>
  </si>
  <si>
    <t>PARCELA ACORDO CAN UP</t>
  </si>
  <si>
    <t>Bitcoin</t>
  </si>
  <si>
    <t>VALOR BIT</t>
  </si>
  <si>
    <t>QTD BIT</t>
  </si>
  <si>
    <t>1 parcela</t>
  </si>
  <si>
    <t>JANEIRO</t>
  </si>
  <si>
    <t>ano 1</t>
  </si>
  <si>
    <t>6 meses</t>
  </si>
  <si>
    <t>dez./24</t>
  </si>
  <si>
    <t>2 parcela</t>
  </si>
  <si>
    <t>FEVEREIRO</t>
  </si>
  <si>
    <t>3 parcela</t>
  </si>
  <si>
    <t>MARÇO</t>
  </si>
  <si>
    <t>4 parcela</t>
  </si>
  <si>
    <t>ABRIL</t>
  </si>
  <si>
    <t>ano 2</t>
  </si>
  <si>
    <t>dez./25</t>
  </si>
  <si>
    <t>-</t>
  </si>
  <si>
    <t>5 parcela</t>
  </si>
  <si>
    <t>MAIO</t>
  </si>
  <si>
    <t>mai./26</t>
  </si>
  <si>
    <t>6 parcela</t>
  </si>
  <si>
    <t>JUNHO</t>
  </si>
  <si>
    <t>7 parcela</t>
  </si>
  <si>
    <t>8 parcela</t>
  </si>
  <si>
    <t>9 parcela</t>
  </si>
  <si>
    <t>apoio Municipal / Federal para aluguel</t>
  </si>
  <si>
    <t>ate julho</t>
  </si>
  <si>
    <t>10 parcela</t>
  </si>
  <si>
    <t>11 parcela</t>
  </si>
  <si>
    <t>O QUE IMPORTA</t>
  </si>
  <si>
    <t>visitar Brasil 3 seman as</t>
  </si>
  <si>
    <t>passagens</t>
  </si>
  <si>
    <t>comprar em Jul/26</t>
  </si>
  <si>
    <t>12 parcela</t>
  </si>
  <si>
    <t>férias/festa/viagem</t>
  </si>
  <si>
    <t>13 parcela</t>
  </si>
  <si>
    <t>tempo de qualidade com as meninas</t>
  </si>
  <si>
    <t>14 parcela</t>
  </si>
  <si>
    <t>cuidar da minha mente e corpo</t>
  </si>
  <si>
    <t>férias/13 sal</t>
  </si>
  <si>
    <t>15 parcela</t>
  </si>
  <si>
    <t>viajar mais</t>
  </si>
  <si>
    <t>16 parcela</t>
  </si>
  <si>
    <t>estar com meus pais</t>
  </si>
  <si>
    <t>17 parcela</t>
  </si>
  <si>
    <t>Atencao com Sophia na escola</t>
  </si>
  <si>
    <t>matematica</t>
  </si>
  <si>
    <t>poupar/mês</t>
  </si>
  <si>
    <t>18 parcela</t>
  </si>
  <si>
    <t xml:space="preserve">Atencao com o desenvolvimento da Tina </t>
  </si>
  <si>
    <t>19 parcela</t>
  </si>
  <si>
    <t>20 parcela</t>
  </si>
  <si>
    <t>21 parcela</t>
  </si>
  <si>
    <t>recebi a mais ate nov/23</t>
  </si>
  <si>
    <t>PLANILHA RESUMO</t>
  </si>
  <si>
    <t>RESUMO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</si>
  <si>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</si>
  <si>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</si>
  <si>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</si>
  <si>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</si>
  <si>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</si>
  <si>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</si>
  <si>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</si>
  <si>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</si>
  <si>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</si>
  <si>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</si>
  <si>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</si>
  <si>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</si>
  <si>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</si>
  <si>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RENDA TOTAL FAMILIAR</t>
  </si>
  <si>
    <t>TOTAL DE DESPESAS</t>
  </si>
  <si>
    <t>SALDO FINAL</t>
  </si>
  <si>
    <t>RESUMO DAS DESPESAS POR CATEGORIA</t>
  </si>
  <si>
    <t>Total por Categoria no ano todo</t>
  </si>
  <si>
    <t xml:space="preserve">DÍVIDAS </t>
  </si>
  <si>
    <t>Total no MÊS</t>
  </si>
  <si>
    <t>% DE QUANTO A CATEGORIA REPRESENTA COM RELACAO AO SALARIO</t>
  </si>
  <si>
    <t>JULHO</t>
  </si>
  <si>
    <t>AGOSTO</t>
  </si>
  <si>
    <t>SETEMBRO</t>
  </si>
  <si>
    <t>OUTUBRO</t>
  </si>
  <si>
    <t>NOVEMBRO</t>
  </si>
  <si>
    <t>DEZEMBRO</t>
  </si>
  <si>
    <t>TEMPO</t>
  </si>
  <si>
    <t>Pagamento carro</t>
  </si>
  <si>
    <t>1 ano em Portugal</t>
  </si>
  <si>
    <t>MUDANÇA/ADAPTAÇÃO</t>
  </si>
  <si>
    <t>carro pago / visita mae</t>
  </si>
  <si>
    <t>RECONSTRUÇÃO</t>
  </si>
  <si>
    <t>Extras</t>
  </si>
  <si>
    <t>viagem Brasil</t>
  </si>
  <si>
    <t>SOLIDIFICAÇÃO</t>
  </si>
  <si>
    <t>REALIZAÇÃO</t>
  </si>
  <si>
    <t>52 ANOS</t>
  </si>
  <si>
    <t>APOSENTADORIA</t>
  </si>
  <si>
    <t>APOSENTADORIA RENDA PASSIVA DE 4000 EUROS AOS 52 ANOS - ATÉ 2028</t>
  </si>
  <si>
    <t>dolares</t>
  </si>
  <si>
    <t>Acumulado mês</t>
  </si>
  <si>
    <t>Retirada</t>
  </si>
  <si>
    <t>Aplicaçao mês</t>
  </si>
  <si>
    <t>Rendimento</t>
  </si>
  <si>
    <t>Total mês</t>
  </si>
  <si>
    <t>MEDIA ANUAL</t>
  </si>
  <si>
    <t>Meio de Rec./Pag.</t>
  </si>
  <si>
    <t>Benefícios</t>
  </si>
  <si>
    <t>Vale Refeição</t>
  </si>
  <si>
    <t>Vale Alimentação</t>
  </si>
  <si>
    <t>Vale Transporte</t>
  </si>
  <si>
    <t>Total Benefícios</t>
  </si>
  <si>
    <t>Alimentação/Refeição</t>
  </si>
  <si>
    <t>Restaurante</t>
  </si>
  <si>
    <t>Bar</t>
  </si>
  <si>
    <t>Ifood</t>
  </si>
  <si>
    <t>Transporte</t>
  </si>
  <si>
    <t xml:space="preserve">Ônibus </t>
  </si>
  <si>
    <t xml:space="preserve">Metrô </t>
  </si>
  <si>
    <t xml:space="preserve">Uber </t>
  </si>
  <si>
    <t>Combustível</t>
  </si>
  <si>
    <t>Total Gastos Benefícios</t>
  </si>
  <si>
    <t>PLANILHA SUPORTE PARA OS GRAFICOS</t>
  </si>
  <si>
    <t>DÍVIDAS</t>
  </si>
  <si>
    <t>1o Trim</t>
  </si>
  <si>
    <t>2o Trim</t>
  </si>
  <si>
    <t>3o Trim</t>
  </si>
  <si>
    <t>4o Trim</t>
  </si>
  <si>
    <t>BOLETO PESSOAL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</si>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</sst>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\ h:mm:ss"/>
    <numFmt numFmtId="165" formatCode="0.0"/>
    <numFmt numFmtId="166" formatCode="#,##0.00;\(#,##0.00\)"/>
    <numFmt numFmtId="167" formatCode="_(* #,##0.00_);_(* \(#,##0.00\);_(* &quot;-&quot;??_);_(@_)"/>
    <numFmt numFmtId="168" formatCode="_-[$€-2]\ * #,##0.00_-;\-[$€-2]\ * #,##0.00_-;_-[$€-2]\ * &quot;-&quot;??_-;_-@"/>
    <numFmt numFmtId="169" formatCode="[$€-2]\ #,##0;[Red]\-[$€-2]\ #,##0"/>
    <numFmt numFmtId="170" formatCode="[$€-2]\ #,##0.00;[Red]\-[$€-2]\ #,##0.00"/>
    <numFmt numFmtId="171" formatCode="&quot;R$&quot;\ #,##0.00;[Red]\-&quot;R$&quot;\ #,##0.00"/>
    <numFmt numFmtId="172" formatCode="_(* #,##0_);_(* \(#,##0\);_(* &quot;-&quot;??_);_(@_)"/>
    <numFmt numFmtId="173" formatCode="0.0%"/>
  </numFmts>
  <fonts count="38">
    <font>
      <sz val="10.0"/>
      <color rgb="FF000000"/>
      <name val="Arial"/>
      <scheme val="minor"/>
    </font>
    <font>
      <b/>
      <sz val="40.0"/>
      <color rgb="FFE1D3C2"/>
      <name val="Arial"/>
    </font>
    <font/>
    <font>
      <sz val="10.0"/>
      <color rgb="FF000000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800000"/>
      <name val="Arial"/>
    </font>
    <font>
      <sz val="9.0"/>
      <color rgb="FF800000"/>
      <name val="Arial"/>
    </font>
    <font>
      <sz val="11.0"/>
      <color rgb="FFFFFFFF"/>
      <name val="Calibri"/>
    </font>
    <font>
      <sz val="9.0"/>
      <color theme="1"/>
      <name val="Arial"/>
    </font>
    <font>
      <b/>
      <sz val="9.0"/>
      <color theme="1"/>
      <name val="Arial"/>
    </font>
    <font>
      <sz val="8.0"/>
      <color rgb="FF00000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10.0"/>
      <color rgb="FF000000"/>
      <name val="Arial"/>
    </font>
    <font>
      <sz val="8.0"/>
      <color rgb="FF808080"/>
      <name val="Arial"/>
    </font>
    <font>
      <i/>
      <sz val="9.0"/>
      <color rgb="FF000000"/>
      <name val="Arial"/>
    </font>
    <font>
      <u/>
      <sz val="10.0"/>
      <color rgb="FF0000FF"/>
      <name val="Arial"/>
    </font>
    <font>
      <sz val="10.0"/>
      <color theme="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Aptos Narrow"/>
    </font>
    <font>
      <b/>
      <sz val="10.0"/>
      <color rgb="FFFF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9.0"/>
      <color rgb="FF000000"/>
      <name val="Calibri"/>
    </font>
    <font>
      <b/>
      <sz val="10.0"/>
      <color theme="0"/>
      <name val="Arial"/>
    </font>
    <font>
      <color theme="1"/>
      <name val="Arial"/>
    </font>
    <font>
      <b/>
      <sz val="12.0"/>
      <color rgb="FF000000"/>
      <name val="Arial"/>
    </font>
    <font>
      <b/>
      <sz val="15.0"/>
      <color rgb="FF000000"/>
      <name val="Arial"/>
    </font>
    <font>
      <sz val="9.0"/>
      <color rgb="FF1155CC"/>
      <name val="Arial"/>
    </font>
    <font>
      <sz val="16.0"/>
      <color theme="0"/>
      <name val="Calibri"/>
    </font>
    <font>
      <b/>
      <sz val="12.0"/>
      <color rgb="FFFFFFFF"/>
      <name val="Arial"/>
    </font>
    <font>
      <sz val="10.0"/>
      <color rgb="FFBFBFB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323232"/>
        <bgColor rgb="FF323232"/>
      </patternFill>
    </fill>
    <fill>
      <patternFill patternType="solid">
        <fgColor rgb="FFFFFFFF"/>
        <bgColor rgb="FFFFFFFF"/>
      </patternFill>
    </fill>
    <fill>
      <patternFill patternType="solid">
        <fgColor rgb="FFBA863F"/>
        <bgColor rgb="FFBA863F"/>
      </patternFill>
    </fill>
    <fill>
      <patternFill patternType="solid">
        <fgColor rgb="FF95B3D7"/>
        <bgColor rgb="FF95B3D7"/>
      </patternFill>
    </fill>
    <fill>
      <patternFill patternType="solid">
        <fgColor rgb="FFE1D3C2"/>
        <bgColor rgb="FFE1D3C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</fills>
  <borders count="74">
    <border/>
    <border>
      <left/>
      <top/>
    </border>
    <border>
      <top/>
    </border>
    <border>
      <left/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/>
      <bottom/>
    </border>
    <border>
      <top/>
      <bottom/>
    </border>
    <border>
      <right style="medium">
        <color rgb="FFCCCCCC"/>
      </right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F7F7F"/>
      </bottom>
    </border>
    <border>
      <left style="medium">
        <color rgb="FFCCCCCC"/>
      </lef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dotted">
        <color rgb="FF7F7F7F"/>
      </right>
      <top style="medium">
        <color rgb="FFCCCCCC"/>
      </top>
      <bottom style="medium">
        <color rgb="FF7F7F7F"/>
      </bottom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7F7F7F"/>
      </bottom>
    </border>
    <border>
      <left style="medium">
        <color rgb="FFCCCCCC"/>
      </left>
    </border>
    <border>
      <left style="medium">
        <color rgb="FFCCCCCC"/>
      </left>
      <right style="dotted">
        <color rgb="FF7F7F7F"/>
      </right>
      <top style="medium">
        <color rgb="FFCCCCCC"/>
      </top>
      <bottom style="dotted">
        <color rgb="FF7F7F7F"/>
      </bottom>
    </border>
    <border>
      <left style="medium">
        <color rgb="FFCCCCCC"/>
      </left>
      <right style="medium">
        <color rgb="FF7F7F7F"/>
      </right>
      <top style="medium">
        <color rgb="FFCCCCCC"/>
      </top>
      <bottom style="dotted">
        <color rgb="FF7F7F7F"/>
      </bottom>
    </border>
    <border>
      <left style="medium">
        <color rgb="FFCCCCCC"/>
      </left>
      <bottom style="medium">
        <color rgb="FFCCCCCC"/>
      </bottom>
    </border>
    <border>
      <left style="medium">
        <color rgb="FFCCCCCC"/>
      </left>
      <right style="dotted">
        <color rgb="FF7F7F7F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dotted">
        <color rgb="FF7F7F7F"/>
      </right>
      <top style="medium">
        <color rgb="FFCCCCCC"/>
      </top>
      <bottom style="dotted">
        <color rgb="FF000000"/>
      </bottom>
    </border>
    <border>
      <left style="medium">
        <color rgb="FFCCCCCC"/>
      </left>
      <right style="medium">
        <color rgb="FF7F7F7F"/>
      </right>
      <top style="medium">
        <color rgb="FFCCCCCC"/>
      </top>
      <bottom style="dotted">
        <color rgb="FF000000"/>
      </bottom>
    </border>
    <border>
      <top style="medium">
        <color rgb="FFCCCCCC"/>
      </top>
      <bottom style="medium">
        <color rgb="FFCCCCCC"/>
      </bottom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</border>
    <border>
      <left style="thin">
        <color rgb="FF7F7F7F"/>
      </left>
      <right style="hair">
        <color rgb="FF7F7F7F"/>
      </right>
      <top style="thin">
        <color rgb="FF7F7F7F"/>
      </top>
      <bottom style="thin">
        <color rgb="FF7F7F7F"/>
      </bottom>
    </border>
    <border>
      <left style="hair">
        <color rgb="FF7F7F7F"/>
      </left>
      <right style="hair">
        <color rgb="FF7F7F7F"/>
      </right>
      <top style="thin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hair">
        <color rgb="FF7F7F7F"/>
      </right>
      <bottom style="hair">
        <color rgb="FF7F7F7F"/>
      </bottom>
    </border>
    <border>
      <left style="hair">
        <color rgb="FF7F7F7F"/>
      </left>
      <right style="hair">
        <color rgb="FF7F7F7F"/>
      </right>
      <bottom style="hair">
        <color rgb="FF7F7F7F"/>
      </bottom>
    </border>
    <border>
      <left style="hair">
        <color rgb="FF7F7F7F"/>
      </left>
      <right style="thin">
        <color rgb="FF7F7F7F"/>
      </right>
      <bottom style="hair">
        <color rgb="FF7F7F7F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hair">
        <color rgb="FF7F7F7F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CCCCCC"/>
      </bottom>
    </border>
    <border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</border>
    <border>
      <top style="thin">
        <color rgb="FF7F7F7F"/>
      </top>
    </border>
    <border>
      <bottom style="thin">
        <color rgb="FF7F7F7F"/>
      </bottom>
    </border>
    <border>
      <left style="thin">
        <color rgb="FF7F7F7F"/>
      </left>
    </border>
    <border>
      <left style="thin">
        <color rgb="FF7F7F7F"/>
      </left>
      <bottom style="thin">
        <color rgb="FF7F7F7F"/>
      </bottom>
    </border>
    <border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wrapText="1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0" fillId="3" fontId="3" numFmtId="0" xfId="0" applyAlignment="1" applyFill="1" applyFont="1">
      <alignment shrinkToFit="0" vertical="center" wrapText="0"/>
    </xf>
    <xf borderId="0" fillId="3" fontId="3" numFmtId="0" xfId="0" applyAlignment="1" applyFont="1">
      <alignment shrinkToFit="0" wrapText="0"/>
    </xf>
    <xf borderId="6" fillId="4" fontId="4" numFmtId="0" xfId="0" applyAlignment="1" applyBorder="1" applyFill="1" applyFont="1">
      <alignment shrinkToFit="0" vertical="center" wrapText="0"/>
    </xf>
    <xf borderId="6" fillId="4" fontId="5" numFmtId="17" xfId="0" applyAlignment="1" applyBorder="1" applyFont="1" applyNumberFormat="1">
      <alignment horizontal="center" shrinkToFit="0" vertical="center" wrapText="0"/>
    </xf>
    <xf borderId="7" fillId="4" fontId="4" numFmtId="164" xfId="0" applyAlignment="1" applyBorder="1" applyFont="1" applyNumberFormat="1">
      <alignment horizontal="center" shrinkToFit="0" vertical="center" wrapText="0"/>
    </xf>
    <xf borderId="0" fillId="3" fontId="6" numFmtId="0" xfId="0" applyAlignment="1" applyFont="1">
      <alignment shrinkToFit="0" vertical="center" wrapText="0"/>
    </xf>
    <xf borderId="0" fillId="3" fontId="3" numFmtId="0" xfId="0" applyAlignment="1" applyFont="1">
      <alignment shrinkToFit="0" wrapText="1"/>
    </xf>
    <xf borderId="0" fillId="3" fontId="3" numFmtId="165" xfId="0" applyAlignment="1" applyFont="1" applyNumberFormat="1">
      <alignment shrinkToFit="0" wrapText="1"/>
    </xf>
    <xf borderId="6" fillId="0" fontId="7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shrinkToFit="0" vertical="center" wrapText="0"/>
    </xf>
    <xf borderId="6" fillId="0" fontId="9" numFmtId="166" xfId="0" applyAlignment="1" applyBorder="1" applyFont="1" applyNumberFormat="1">
      <alignment readingOrder="0" shrinkToFit="0" vertical="center" wrapText="0"/>
    </xf>
    <xf borderId="6" fillId="0" fontId="9" numFmtId="166" xfId="0" applyAlignment="1" applyBorder="1" applyFont="1" applyNumberFormat="1">
      <alignment shrinkToFit="0" vertical="center" wrapText="0"/>
    </xf>
    <xf borderId="7" fillId="0" fontId="6" numFmtId="166" xfId="0" applyAlignment="1" applyBorder="1" applyFont="1" applyNumberFormat="1">
      <alignment horizontal="center" shrinkToFit="0" vertical="center" wrapText="0"/>
    </xf>
    <xf borderId="0" fillId="3" fontId="9" numFmtId="0" xfId="0" applyAlignment="1" applyFont="1">
      <alignment shrinkToFit="0" vertical="center" wrapText="0"/>
    </xf>
    <xf borderId="0" fillId="3" fontId="3" numFmtId="165" xfId="0" applyAlignment="1" applyFont="1" applyNumberFormat="1">
      <alignment horizontal="right" shrinkToFit="0" wrapText="1"/>
    </xf>
    <xf borderId="0" fillId="3" fontId="10" numFmtId="0" xfId="0" applyAlignment="1" applyFont="1">
      <alignment horizontal="right" shrinkToFit="0" wrapText="1"/>
    </xf>
    <xf borderId="8" fillId="0" fontId="6" numFmtId="0" xfId="0" applyAlignment="1" applyBorder="1" applyFont="1">
      <alignment shrinkToFit="0" vertical="center" wrapText="0"/>
    </xf>
    <xf borderId="8" fillId="0" fontId="11" numFmtId="10" xfId="0" applyAlignment="1" applyBorder="1" applyFont="1" applyNumberFormat="1">
      <alignment shrinkToFit="0" vertical="center" wrapText="0"/>
    </xf>
    <xf borderId="6" fillId="5" fontId="6" numFmtId="166" xfId="0" applyAlignment="1" applyBorder="1" applyFill="1" applyFont="1" applyNumberFormat="1">
      <alignment shrinkToFit="0" vertical="center" wrapText="0"/>
    </xf>
    <xf borderId="9" fillId="6" fontId="6" numFmtId="166" xfId="0" applyAlignment="1" applyBorder="1" applyFill="1" applyFont="1" applyNumberFormat="1">
      <alignment shrinkToFit="0" vertical="center" wrapText="0"/>
    </xf>
    <xf borderId="6" fillId="5" fontId="6" numFmtId="166" xfId="0" applyAlignment="1" applyBorder="1" applyFont="1" applyNumberForma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10" fillId="6" fontId="7" numFmtId="0" xfId="0" applyAlignment="1" applyBorder="1" applyFont="1">
      <alignment shrinkToFit="0" vertical="center" wrapText="0"/>
    </xf>
    <xf borderId="6" fillId="6" fontId="7" numFmtId="10" xfId="0" applyAlignment="1" applyBorder="1" applyFont="1" applyNumberFormat="1">
      <alignment shrinkToFit="0" vertical="center" wrapText="0"/>
    </xf>
    <xf borderId="11" fillId="6" fontId="6" numFmtId="166" xfId="0" applyAlignment="1" applyBorder="1" applyFont="1" applyNumberFormat="1">
      <alignment shrinkToFit="0" vertical="center" wrapText="0"/>
    </xf>
    <xf borderId="6" fillId="0" fontId="11" numFmtId="10" xfId="0" applyAlignment="1" applyBorder="1" applyFont="1" applyNumberFormat="1">
      <alignment shrinkToFit="0" vertical="center" wrapText="0"/>
    </xf>
    <xf borderId="12" fillId="5" fontId="6" numFmtId="166" xfId="0" applyAlignment="1" applyBorder="1" applyFont="1" applyNumberFormat="1">
      <alignment shrinkToFit="0" vertical="center" wrapText="0"/>
    </xf>
    <xf borderId="0" fillId="3" fontId="3" numFmtId="0" xfId="0" applyAlignment="1" applyFont="1">
      <alignment horizontal="left" shrinkToFit="0" wrapText="1"/>
    </xf>
    <xf borderId="0" fillId="3" fontId="3" numFmtId="4" xfId="0" applyAlignment="1" applyFont="1" applyNumberFormat="1">
      <alignment horizontal="left" shrinkToFit="0" wrapText="1"/>
    </xf>
    <xf borderId="13" fillId="6" fontId="7" numFmtId="0" xfId="0" applyAlignment="1" applyBorder="1" applyFont="1">
      <alignment shrinkToFit="0" vertical="center" wrapText="0"/>
    </xf>
    <xf borderId="14" fillId="6" fontId="6" numFmtId="166" xfId="0" applyAlignment="1" applyBorder="1" applyFont="1" applyNumberFormat="1">
      <alignment shrinkToFit="0" vertical="center" wrapText="0"/>
    </xf>
    <xf borderId="7" fillId="6" fontId="6" numFmtId="166" xfId="0" applyAlignment="1" applyBorder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15" fillId="0" fontId="6" numFmtId="10" xfId="0" applyAlignment="1" applyBorder="1" applyFont="1" applyNumberFormat="1">
      <alignment shrinkToFit="0" vertical="center" wrapText="0"/>
    </xf>
    <xf borderId="15" fillId="0" fontId="6" numFmtId="166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6" fillId="0" fontId="7" numFmtId="10" xfId="0" applyAlignment="1" applyBorder="1" applyFont="1" applyNumberFormat="1">
      <alignment shrinkToFit="0" vertical="center" wrapText="0"/>
    </xf>
    <xf borderId="6" fillId="6" fontId="6" numFmtId="166" xfId="0" applyAlignment="1" applyBorder="1" applyFont="1" applyNumberFormat="1">
      <alignment shrinkToFit="0" vertical="center" wrapText="0"/>
    </xf>
    <xf borderId="16" fillId="0" fontId="7" numFmtId="0" xfId="0" applyAlignment="1" applyBorder="1" applyFont="1">
      <alignment shrinkToFit="0" vertical="center" wrapText="0"/>
    </xf>
    <xf borderId="16" fillId="0" fontId="7" numFmtId="10" xfId="0" applyAlignment="1" applyBorder="1" applyFont="1" applyNumberFormat="1">
      <alignment shrinkToFit="0" vertical="center" wrapText="0"/>
    </xf>
    <xf borderId="16" fillId="0" fontId="6" numFmtId="166" xfId="0" applyAlignment="1" applyBorder="1" applyFont="1" applyNumberFormat="1">
      <alignment shrinkToFit="0" vertical="center" wrapText="0"/>
    </xf>
    <xf borderId="0" fillId="0" fontId="6" numFmtId="166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17" fillId="6" fontId="7" numFmtId="0" xfId="0" applyAlignment="1" applyBorder="1" applyFont="1">
      <alignment shrinkToFit="0" vertical="center" wrapText="0"/>
    </xf>
    <xf borderId="17" fillId="6" fontId="7" numFmtId="10" xfId="0" applyAlignment="1" applyBorder="1" applyFont="1" applyNumberFormat="1">
      <alignment shrinkToFit="0" vertical="center" wrapText="0"/>
    </xf>
    <xf borderId="12" fillId="6" fontId="7" numFmtId="2" xfId="0" applyAlignment="1" applyBorder="1" applyFont="1" applyNumberFormat="1">
      <alignment shrinkToFit="0" vertical="center" wrapText="0"/>
    </xf>
    <xf borderId="12" fillId="6" fontId="6" numFmtId="166" xfId="0" applyAlignment="1" applyBorder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4" fillId="5" fontId="6" numFmtId="166" xfId="0" applyAlignment="1" applyBorder="1" applyFont="1" applyNumberFormat="1">
      <alignment shrinkToFit="0" vertical="center" wrapText="0"/>
    </xf>
    <xf borderId="18" fillId="0" fontId="9" numFmtId="0" xfId="0" applyAlignment="1" applyBorder="1" applyFont="1">
      <alignment shrinkToFit="0" vertical="center" wrapText="0"/>
    </xf>
    <xf borderId="14" fillId="5" fontId="6" numFmtId="166" xfId="0" applyAlignment="1" applyBorder="1" applyFont="1" applyNumberFormat="1">
      <alignment readingOrder="0" shrinkToFit="0" vertical="center" wrapText="0"/>
    </xf>
    <xf borderId="14" fillId="7" fontId="6" numFmtId="166" xfId="0" applyAlignment="1" applyBorder="1" applyFill="1" applyFont="1" applyNumberFormat="1">
      <alignment readingOrder="0" shrinkToFit="0" vertical="center" wrapText="0"/>
    </xf>
    <xf borderId="6" fillId="6" fontId="7" numFmtId="167" xfId="0" applyAlignment="1" applyBorder="1" applyFont="1" applyNumberFormat="1">
      <alignment shrinkToFit="0" vertical="center" wrapText="0"/>
    </xf>
    <xf borderId="12" fillId="6" fontId="7" numFmtId="166" xfId="0" applyAlignment="1" applyBorder="1" applyFont="1" applyNumberFormat="1">
      <alignment shrinkToFit="0" vertical="center" wrapText="0"/>
    </xf>
    <xf borderId="8" fillId="0" fontId="6" numFmtId="10" xfId="0" applyAlignment="1" applyBorder="1" applyFont="1" applyNumberFormat="1">
      <alignment shrinkToFit="0" vertical="center" wrapText="0"/>
    </xf>
    <xf borderId="8" fillId="0" fontId="6" numFmtId="166" xfId="0" applyAlignment="1" applyBorder="1" applyFont="1" applyNumberForma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6" fillId="8" fontId="6" numFmtId="166" xfId="0" applyAlignment="1" applyBorder="1" applyFill="1" applyFont="1" applyNumberFormat="1">
      <alignment shrinkToFit="0" vertical="center" wrapText="0"/>
    </xf>
    <xf borderId="6" fillId="8" fontId="6" numFmtId="166" xfId="0" applyAlignment="1" applyBorder="1" applyFont="1" applyNumberFormat="1">
      <alignment readingOrder="0" shrinkToFit="0" vertical="center" wrapText="0"/>
    </xf>
    <xf borderId="18" fillId="0" fontId="9" numFmtId="4" xfId="0" applyAlignment="1" applyBorder="1" applyFont="1" applyNumberFormat="1">
      <alignment shrinkToFit="0" vertical="center" wrapText="0"/>
    </xf>
    <xf borderId="0" fillId="0" fontId="3" numFmtId="4" xfId="0" applyAlignment="1" applyFont="1" applyNumberFormat="1">
      <alignment shrinkToFit="0" wrapText="1"/>
    </xf>
    <xf borderId="6" fillId="7" fontId="6" numFmtId="166" xfId="0" applyAlignment="1" applyBorder="1" applyFont="1" applyNumberFormat="1">
      <alignment shrinkToFit="0" vertical="center" wrapText="0"/>
    </xf>
    <xf borderId="17" fillId="6" fontId="12" numFmtId="10" xfId="0" applyAlignment="1" applyBorder="1" applyFont="1" applyNumberFormat="1">
      <alignment shrinkToFit="0" vertical="center" wrapText="0"/>
    </xf>
    <xf borderId="6" fillId="6" fontId="7" numFmtId="0" xfId="0" applyAlignment="1" applyBorder="1" applyFont="1">
      <alignment shrinkToFit="0" vertical="center" wrapText="0"/>
    </xf>
    <xf borderId="14" fillId="6" fontId="7" numFmtId="10" xfId="0" applyAlignment="1" applyBorder="1" applyFont="1" applyNumberFormat="1">
      <alignment shrinkToFit="0" vertical="center" wrapText="0"/>
    </xf>
    <xf borderId="19" fillId="6" fontId="7" numFmtId="166" xfId="0" applyAlignment="1" applyBorder="1" applyFont="1" applyNumberFormat="1">
      <alignment shrinkToFit="0" vertical="center" wrapText="0"/>
    </xf>
    <xf borderId="7" fillId="0" fontId="7" numFmtId="0" xfId="0" applyAlignment="1" applyBorder="1" applyFont="1">
      <alignment shrinkToFit="0" vertical="center" wrapText="0"/>
    </xf>
    <xf borderId="6" fillId="0" fontId="12" numFmtId="10" xfId="0" applyAlignment="1" applyBorder="1" applyFont="1" applyNumberFormat="1">
      <alignment shrinkToFit="0" vertical="center" wrapText="0"/>
    </xf>
    <xf borderId="20" fillId="0" fontId="6" numFmtId="166" xfId="0" applyAlignment="1" applyBorder="1" applyFont="1" applyNumberFormat="1">
      <alignment shrinkToFit="0" vertical="center" wrapText="0"/>
    </xf>
    <xf borderId="6" fillId="6" fontId="12" numFmtId="10" xfId="0" applyAlignment="1" applyBorder="1" applyFont="1" applyNumberFormat="1">
      <alignment shrinkToFit="0" vertical="center" wrapText="0"/>
    </xf>
    <xf borderId="6" fillId="6" fontId="7" numFmtId="166" xfId="0" applyAlignment="1" applyBorder="1" applyFont="1" applyNumberFormat="1">
      <alignment shrinkToFit="0" vertical="center" wrapText="0"/>
    </xf>
    <xf borderId="6" fillId="0" fontId="6" numFmtId="166" xfId="0" applyAlignment="1" applyBorder="1" applyFont="1" applyNumberFormat="1">
      <alignment shrinkToFit="0" vertical="center" wrapText="0"/>
    </xf>
    <xf borderId="6" fillId="6" fontId="7" numFmtId="10" xfId="0" applyAlignment="1" applyBorder="1" applyFont="1" applyNumberFormat="1">
      <alignment horizontal="center" shrinkToFit="0" vertical="center" wrapText="0"/>
    </xf>
    <xf borderId="6" fillId="9" fontId="7" numFmtId="0" xfId="0" applyAlignment="1" applyBorder="1" applyFill="1" applyFont="1">
      <alignment shrinkToFit="0" vertical="center" wrapText="0"/>
    </xf>
    <xf borderId="6" fillId="9" fontId="7" numFmtId="10" xfId="0" applyAlignment="1" applyBorder="1" applyFont="1" applyNumberFormat="1">
      <alignment horizontal="center" shrinkToFit="0" vertical="center" wrapText="0"/>
    </xf>
    <xf borderId="6" fillId="9" fontId="13" numFmtId="10" xfId="0" applyAlignment="1" applyBorder="1" applyFont="1" applyNumberFormat="1">
      <alignment shrinkToFit="0" vertical="center" wrapText="0"/>
    </xf>
    <xf borderId="6" fillId="9" fontId="7" numFmtId="10" xfId="0" applyAlignment="1" applyBorder="1" applyFont="1" applyNumberFormat="1">
      <alignment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7" numFmtId="166" xfId="0" applyAlignment="1" applyBorder="1" applyFont="1" applyNumberForma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5" fillId="0" fontId="9" numFmtId="10" xfId="0" applyAlignment="1" applyBorder="1" applyFont="1" applyNumberFormat="1">
      <alignment horizontal="center" shrinkToFit="0" vertical="center" wrapText="0"/>
    </xf>
    <xf borderId="20" fillId="0" fontId="6" numFmtId="10" xfId="0" applyAlignment="1" applyBorder="1" applyFont="1" applyNumberFormat="1">
      <alignment horizontal="center" shrinkToFit="0" vertical="center" wrapText="0"/>
    </xf>
    <xf borderId="6" fillId="4" fontId="14" numFmtId="0" xfId="0" applyAlignment="1" applyBorder="1" applyFont="1">
      <alignment shrinkToFit="0" vertical="center" wrapText="0"/>
    </xf>
    <xf borderId="13" fillId="4" fontId="15" numFmtId="17" xfId="0" applyAlignment="1" applyBorder="1" applyFont="1" applyNumberFormat="1">
      <alignment horizontal="center" shrinkToFit="0" vertical="center" wrapText="0"/>
    </xf>
    <xf borderId="6" fillId="4" fontId="14" numFmtId="164" xfId="0" applyAlignment="1" applyBorder="1" applyFont="1" applyNumberFormat="1">
      <alignment horizontal="center" shrinkToFit="0" vertical="center" wrapText="0"/>
    </xf>
    <xf borderId="21" fillId="0" fontId="16" numFmtId="0" xfId="0" applyAlignment="1" applyBorder="1" applyFont="1">
      <alignment shrinkToFit="0" wrapText="1"/>
    </xf>
    <xf borderId="21" fillId="0" fontId="11" numFmtId="10" xfId="0" applyAlignment="1" applyBorder="1" applyFont="1" applyNumberFormat="1">
      <alignment shrinkToFit="0" vertical="center" wrapText="0"/>
    </xf>
    <xf borderId="12" fillId="5" fontId="7" numFmtId="166" xfId="0" applyAlignment="1" applyBorder="1" applyFont="1" applyNumberFormat="1">
      <alignment shrinkToFit="0" vertical="center" wrapText="0"/>
    </xf>
    <xf borderId="6" fillId="0" fontId="16" numFmtId="0" xfId="0" applyAlignment="1" applyBorder="1" applyFont="1">
      <alignment shrinkToFit="0" wrapText="1"/>
    </xf>
    <xf borderId="6" fillId="5" fontId="7" numFmtId="166" xfId="0" applyAlignment="1" applyBorder="1" applyFont="1" applyNumberFormat="1">
      <alignment shrinkToFit="0" vertical="center" wrapText="0"/>
    </xf>
    <xf borderId="0" fillId="0" fontId="16" numFmtId="0" xfId="0" applyAlignment="1" applyFont="1">
      <alignment shrinkToFit="0" wrapText="1"/>
    </xf>
    <xf borderId="16" fillId="0" fontId="11" numFmtId="9" xfId="0" applyAlignment="1" applyBorder="1" applyFont="1" applyNumberFormat="1">
      <alignment shrinkToFit="0" vertical="center" wrapText="0"/>
    </xf>
    <xf borderId="16" fillId="0" fontId="7" numFmtId="166" xfId="0" applyAlignment="1" applyBorder="1" applyFont="1" applyNumberFormat="1">
      <alignment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0" fontId="11" numFmtId="9" xfId="0" applyAlignment="1" applyFont="1" applyNumberFormat="1">
      <alignment shrinkToFit="0" vertical="center" wrapText="0"/>
    </xf>
    <xf borderId="0" fillId="0" fontId="12" numFmtId="9" xfId="0" applyAlignment="1" applyFont="1" applyNumberFormat="1">
      <alignment shrinkToFit="0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22" fillId="0" fontId="3" numFmtId="0" xfId="0" applyAlignment="1" applyBorder="1" applyFont="1">
      <alignment shrinkToFit="0" wrapText="1"/>
    </xf>
    <xf borderId="23" fillId="10" fontId="20" numFmtId="0" xfId="0" applyAlignment="1" applyBorder="1" applyFill="1" applyFont="1">
      <alignment horizontal="center" shrinkToFit="0" wrapText="1"/>
    </xf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16" numFmtId="0" xfId="0" applyAlignment="1" applyBorder="1" applyFont="1">
      <alignment horizontal="center" shrinkToFit="0" wrapText="1"/>
    </xf>
    <xf borderId="6" fillId="0" fontId="16" numFmtId="168" xfId="0" applyAlignment="1" applyBorder="1" applyFont="1" applyNumberFormat="1">
      <alignment horizontal="center" shrinkToFit="0" wrapText="1"/>
    </xf>
    <xf borderId="28" fillId="0" fontId="3" numFmtId="0" xfId="0" applyAlignment="1" applyBorder="1" applyFont="1">
      <alignment shrinkToFit="0" vertical="center" wrapText="1"/>
    </xf>
    <xf borderId="28" fillId="0" fontId="21" numFmtId="3" xfId="0" applyAlignment="1" applyBorder="1" applyFont="1" applyNumberFormat="1">
      <alignment horizontal="center" shrinkToFit="0" vertical="center" wrapText="0"/>
    </xf>
    <xf borderId="28" fillId="0" fontId="3" numFmtId="0" xfId="0" applyAlignment="1" applyBorder="1" applyFont="1">
      <alignment shrinkToFit="0" wrapText="1"/>
    </xf>
    <xf borderId="29" fillId="0" fontId="3" numFmtId="0" xfId="0" applyAlignment="1" applyBorder="1" applyFont="1">
      <alignment horizontal="right" shrinkToFit="0" vertical="center" wrapText="1"/>
    </xf>
    <xf borderId="30" fillId="11" fontId="3" numFmtId="0" xfId="0" applyAlignment="1" applyBorder="1" applyFill="1" applyFont="1">
      <alignment shrinkToFit="0" vertical="center" wrapText="1"/>
    </xf>
    <xf borderId="6" fillId="11" fontId="3" numFmtId="0" xfId="0" applyAlignment="1" applyBorder="1" applyFont="1">
      <alignment shrinkToFit="0" wrapText="1"/>
    </xf>
    <xf borderId="6" fillId="11" fontId="3" numFmtId="168" xfId="0" applyAlignment="1" applyBorder="1" applyFont="1" applyNumberFormat="1">
      <alignment shrinkToFit="0" wrapText="1"/>
    </xf>
    <xf borderId="31" fillId="0" fontId="3" numFmtId="0" xfId="0" applyAlignment="1" applyBorder="1" applyFont="1">
      <alignment shrinkToFit="0" vertical="center" wrapText="1"/>
    </xf>
    <xf borderId="31" fillId="0" fontId="16" numFmtId="0" xfId="0" applyAlignment="1" applyBorder="1" applyFon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shrinkToFit="0" wrapText="0"/>
    </xf>
    <xf borderId="26" fillId="0" fontId="23" numFmtId="0" xfId="0" applyAlignment="1" applyBorder="1" applyFont="1">
      <alignment shrinkToFit="0" wrapText="0"/>
    </xf>
    <xf borderId="33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6" fillId="11" fontId="16" numFmtId="0" xfId="0" applyAlignment="1" applyBorder="1" applyFont="1">
      <alignment shrinkToFit="0" wrapText="1"/>
    </xf>
    <xf borderId="6" fillId="11" fontId="16" numFmtId="168" xfId="0" applyAlignment="1" applyBorder="1" applyFont="1" applyNumberFormat="1">
      <alignment shrinkToFit="0" wrapText="1"/>
    </xf>
    <xf borderId="6" fillId="11" fontId="16" numFmtId="17" xfId="0" applyAlignment="1" applyBorder="1" applyFont="1" applyNumberFormat="1">
      <alignment shrinkToFit="0" wrapText="1"/>
    </xf>
    <xf borderId="34" fillId="0" fontId="3" numFmtId="0" xfId="0" applyAlignment="1" applyBorder="1" applyFont="1">
      <alignment shrinkToFit="0" wrapText="0"/>
    </xf>
    <xf borderId="34" fillId="0" fontId="3" numFmtId="3" xfId="0" applyAlignment="1" applyBorder="1" applyFont="1" applyNumberFormat="1">
      <alignment horizontal="right" shrinkToFit="0" wrapText="0"/>
    </xf>
    <xf borderId="35" fillId="0" fontId="3" numFmtId="0" xfId="0" applyAlignment="1" applyBorder="1" applyFont="1">
      <alignment shrinkToFit="0" wrapText="1"/>
    </xf>
    <xf borderId="26" fillId="0" fontId="22" numFmtId="169" xfId="0" applyAlignment="1" applyBorder="1" applyFont="1" applyNumberFormat="1">
      <alignment horizontal="right" readingOrder="0" shrinkToFit="0" wrapText="0"/>
    </xf>
    <xf borderId="26" fillId="0" fontId="23" numFmtId="169" xfId="0" applyAlignment="1" applyBorder="1" applyFont="1" applyNumberFormat="1">
      <alignment horizontal="right" shrinkToFit="0" wrapText="0"/>
    </xf>
    <xf borderId="36" fillId="0" fontId="2" numFmtId="0" xfId="0" applyAlignment="1" applyBorder="1" applyFont="1">
      <alignment shrinkToFit="0" wrapText="1"/>
    </xf>
    <xf borderId="21" fillId="0" fontId="2" numFmtId="0" xfId="0" applyAlignment="1" applyBorder="1" applyFont="1">
      <alignment shrinkToFit="0" wrapText="1"/>
    </xf>
    <xf borderId="6" fillId="11" fontId="3" numFmtId="168" xfId="0" applyAlignment="1" applyBorder="1" applyFont="1" applyNumberFormat="1">
      <alignment horizontal="right" shrinkToFit="0" wrapText="1"/>
    </xf>
    <xf borderId="34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6" fillId="0" fontId="3" numFmtId="168" xfId="0" applyAlignment="1" applyBorder="1" applyFont="1" applyNumberFormat="1">
      <alignment shrinkToFit="0" wrapText="1"/>
    </xf>
    <xf borderId="31" fillId="0" fontId="3" numFmtId="0" xfId="0" applyAlignment="1" applyBorder="1" applyFont="1">
      <alignment shrinkToFit="0" wrapText="0"/>
    </xf>
    <xf borderId="31" fillId="0" fontId="3" numFmtId="0" xfId="0" applyAlignment="1" applyBorder="1" applyFont="1">
      <alignment shrinkToFit="0" wrapText="1"/>
    </xf>
    <xf borderId="31" fillId="12" fontId="3" numFmtId="3" xfId="0" applyAlignment="1" applyBorder="1" applyFill="1" applyFont="1" applyNumberFormat="1">
      <alignment horizontal="right" shrinkToFit="0" wrapText="0"/>
    </xf>
    <xf borderId="32" fillId="0" fontId="3" numFmtId="0" xfId="0" applyAlignment="1" applyBorder="1" applyFont="1">
      <alignment shrinkToFit="0" wrapText="1"/>
    </xf>
    <xf borderId="22" fillId="0" fontId="3" numFmtId="0" xfId="0" applyAlignment="1" applyBorder="1" applyFont="1">
      <alignment horizontal="right" shrinkToFit="0" wrapText="1"/>
    </xf>
    <xf borderId="30" fillId="0" fontId="3" numFmtId="0" xfId="0" applyAlignment="1" applyBorder="1" applyFont="1">
      <alignment shrinkToFit="0" vertical="center" wrapText="1"/>
    </xf>
    <xf borderId="6" fillId="13" fontId="3" numFmtId="0" xfId="0" applyAlignment="1" applyBorder="1" applyFill="1" applyFont="1">
      <alignment shrinkToFit="0" wrapText="1"/>
    </xf>
    <xf borderId="6" fillId="13" fontId="3" numFmtId="168" xfId="0" applyAlignment="1" applyBorder="1" applyFont="1" applyNumberFormat="1">
      <alignment horizontal="right" shrinkToFit="0" wrapText="1"/>
    </xf>
    <xf borderId="6" fillId="13" fontId="3" numFmtId="0" xfId="0" applyAlignment="1" applyBorder="1" applyFont="1">
      <alignment horizontal="right" shrinkToFit="0" wrapText="1"/>
    </xf>
    <xf borderId="28" fillId="0" fontId="3" numFmtId="10" xfId="0" applyAlignment="1" applyBorder="1" applyFont="1" applyNumberFormat="1">
      <alignment horizontal="right" shrinkToFit="0" wrapText="1"/>
    </xf>
    <xf borderId="6" fillId="13" fontId="3" numFmtId="168" xfId="0" applyAlignment="1" applyBorder="1" applyFont="1" applyNumberFormat="1">
      <alignment shrinkToFit="0" wrapText="1"/>
    </xf>
    <xf borderId="32" fillId="0" fontId="3" numFmtId="0" xfId="0" applyAlignment="1" applyBorder="1" applyFont="1">
      <alignment shrinkToFit="0" vertical="center" wrapText="1"/>
    </xf>
    <xf borderId="26" fillId="11" fontId="23" numFmtId="0" xfId="0" applyAlignment="1" applyBorder="1" applyFont="1">
      <alignment shrinkToFit="0" wrapText="0"/>
    </xf>
    <xf borderId="26" fillId="11" fontId="23" numFmtId="169" xfId="0" applyAlignment="1" applyBorder="1" applyFont="1" applyNumberFormat="1">
      <alignment horizontal="right" shrinkToFit="0" wrapText="0"/>
    </xf>
    <xf borderId="26" fillId="11" fontId="22" numFmtId="169" xfId="0" applyAlignment="1" applyBorder="1" applyFont="1" applyNumberFormat="1">
      <alignment horizontal="right" shrinkToFit="0" wrapText="0"/>
    </xf>
    <xf borderId="34" fillId="0" fontId="3" numFmtId="0" xfId="0" applyAlignment="1" applyBorder="1" applyFont="1">
      <alignment horizontal="right" shrinkToFit="0" wrapText="0"/>
    </xf>
    <xf borderId="34" fillId="14" fontId="3" numFmtId="0" xfId="0" applyAlignment="1" applyBorder="1" applyFill="1" applyFont="1">
      <alignment horizontal="right" shrinkToFit="0" wrapText="0"/>
    </xf>
    <xf borderId="35" fillId="0" fontId="3" numFmtId="3" xfId="0" applyAlignment="1" applyBorder="1" applyFont="1" applyNumberFormat="1">
      <alignment horizontal="right" shrinkToFit="0" wrapText="0"/>
    </xf>
    <xf borderId="27" fillId="0" fontId="3" numFmtId="0" xfId="0" applyAlignment="1" applyBorder="1" applyFont="1">
      <alignment horizontal="right" shrinkToFit="0" wrapText="1"/>
    </xf>
    <xf borderId="26" fillId="0" fontId="3" numFmtId="0" xfId="0" applyAlignment="1" applyBorder="1" applyFont="1">
      <alignment horizontal="right" shrinkToFit="0" wrapText="1"/>
    </xf>
    <xf borderId="26" fillId="15" fontId="3" numFmtId="0" xfId="0" applyAlignment="1" applyBorder="1" applyFill="1" applyFont="1">
      <alignment horizontal="right" shrinkToFit="0" wrapText="1"/>
    </xf>
    <xf borderId="37" fillId="15" fontId="3" numFmtId="0" xfId="0" applyAlignment="1" applyBorder="1" applyFont="1">
      <alignment horizontal="right" shrinkToFit="0" wrapText="1"/>
    </xf>
    <xf borderId="6" fillId="0" fontId="3" numFmtId="168" xfId="0" applyAlignment="1" applyBorder="1" applyFont="1" applyNumberFormat="1">
      <alignment horizontal="right" shrinkToFit="0" wrapText="1"/>
    </xf>
    <xf borderId="34" fillId="15" fontId="3" numFmtId="0" xfId="0" applyAlignment="1" applyBorder="1" applyFont="1">
      <alignment horizontal="right" shrinkToFit="0" wrapText="0"/>
    </xf>
    <xf borderId="26" fillId="0" fontId="3" numFmtId="10" xfId="0" applyAlignment="1" applyBorder="1" applyFont="1" applyNumberFormat="1">
      <alignment shrinkToFit="0" wrapText="1"/>
    </xf>
    <xf borderId="38" fillId="0" fontId="3" numFmtId="0" xfId="0" applyAlignment="1" applyBorder="1" applyFont="1">
      <alignment shrinkToFit="0" wrapText="1"/>
    </xf>
    <xf borderId="38" fillId="0" fontId="3" numFmtId="170" xfId="0" applyAlignment="1" applyBorder="1" applyFont="1" applyNumberFormat="1">
      <alignment horizontal="right" shrinkToFit="0" wrapText="1"/>
    </xf>
    <xf borderId="38" fillId="0" fontId="3" numFmtId="168" xfId="0" applyAlignment="1" applyBorder="1" applyFont="1" applyNumberFormat="1">
      <alignment horizontal="right" shrinkToFit="0" wrapText="1"/>
    </xf>
    <xf borderId="38" fillId="0" fontId="3" numFmtId="10" xfId="0" applyAlignment="1" applyBorder="1" applyFont="1" applyNumberFormat="1">
      <alignment shrinkToFit="0" wrapText="1"/>
    </xf>
    <xf borderId="39" fillId="0" fontId="3" numFmtId="0" xfId="0" applyAlignment="1" applyBorder="1" applyFont="1">
      <alignment shrinkToFit="0" wrapText="1"/>
    </xf>
    <xf borderId="39" fillId="0" fontId="3" numFmtId="3" xfId="0" applyAlignment="1" applyBorder="1" applyFont="1" applyNumberFormat="1">
      <alignment horizontal="right" shrinkToFit="0" wrapText="0"/>
    </xf>
    <xf borderId="39" fillId="0" fontId="3" numFmtId="0" xfId="0" applyAlignment="1" applyBorder="1" applyFont="1">
      <alignment shrinkToFit="0" wrapText="0"/>
    </xf>
    <xf borderId="39" fillId="0" fontId="3" numFmtId="0" xfId="0" applyAlignment="1" applyBorder="1" applyFont="1">
      <alignment horizontal="right" shrinkToFit="0" wrapText="0"/>
    </xf>
    <xf borderId="40" fillId="0" fontId="3" numFmtId="0" xfId="0" applyAlignment="1" applyBorder="1" applyFont="1">
      <alignment shrinkToFit="0" wrapText="1"/>
    </xf>
    <xf borderId="27" fillId="0" fontId="16" numFmtId="0" xfId="0" applyAlignment="1" applyBorder="1" applyFont="1">
      <alignment horizontal="center" shrinkToFit="0" wrapText="1"/>
    </xf>
    <xf borderId="4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shrinkToFit="0" wrapText="1"/>
    </xf>
    <xf borderId="26" fillId="0" fontId="3" numFmtId="168" xfId="0" applyAlignment="1" applyBorder="1" applyFont="1" applyNumberFormat="1">
      <alignment shrinkToFit="0" wrapText="1"/>
    </xf>
    <xf borderId="42" fillId="15" fontId="24" numFmtId="3" xfId="0" applyAlignment="1" applyBorder="1" applyFont="1" applyNumberFormat="1">
      <alignment horizontal="right" shrinkToFit="0" wrapText="0"/>
    </xf>
    <xf borderId="42" fillId="0" fontId="3" numFmtId="0" xfId="0" applyAlignment="1" applyBorder="1" applyFont="1">
      <alignment horizontal="right" shrinkToFit="0" wrapText="0"/>
    </xf>
    <xf borderId="42" fillId="0" fontId="3" numFmtId="0" xfId="0" applyAlignment="1" applyBorder="1" applyFont="1">
      <alignment shrinkToFit="0" wrapText="1"/>
    </xf>
    <xf borderId="42" fillId="7" fontId="24" numFmtId="0" xfId="0" applyAlignment="1" applyBorder="1" applyFont="1">
      <alignment shrinkToFit="0" wrapText="1"/>
    </xf>
    <xf borderId="42" fillId="0" fontId="3" numFmtId="3" xfId="0" applyAlignment="1" applyBorder="1" applyFont="1" applyNumberFormat="1">
      <alignment shrinkToFit="0" wrapText="1"/>
    </xf>
    <xf borderId="42" fillId="0" fontId="3" numFmtId="0" xfId="0" applyAlignment="1" applyBorder="1" applyFont="1">
      <alignment shrinkToFit="0" wrapText="0"/>
    </xf>
    <xf borderId="26" fillId="3" fontId="3" numFmtId="0" xfId="0" applyAlignment="1" applyBorder="1" applyFont="1">
      <alignment shrinkToFit="0" wrapText="1"/>
    </xf>
    <xf borderId="26" fillId="11" fontId="25" numFmtId="0" xfId="0" applyAlignment="1" applyBorder="1" applyFont="1">
      <alignment shrinkToFit="0" wrapText="1"/>
    </xf>
    <xf borderId="26" fillId="11" fontId="26" numFmtId="171" xfId="0" applyAlignment="1" applyBorder="1" applyFont="1" applyNumberFormat="1">
      <alignment horizontal="right" shrinkToFit="0" wrapText="1"/>
    </xf>
    <xf borderId="26" fillId="11" fontId="26" numFmtId="17" xfId="0" applyAlignment="1" applyBorder="1" applyFont="1" applyNumberFormat="1">
      <alignment horizontal="right" shrinkToFit="0" wrapText="1"/>
    </xf>
    <xf borderId="42" fillId="0" fontId="3" numFmtId="170" xfId="0" applyAlignment="1" applyBorder="1" applyFont="1" applyNumberFormat="1">
      <alignment horizontal="right" shrinkToFit="0" wrapText="1"/>
    </xf>
    <xf borderId="43" fillId="0" fontId="3" numFmtId="0" xfId="0" applyAlignment="1" applyBorder="1" applyFont="1">
      <alignment horizontal="center" shrinkToFit="0" vertical="center" wrapText="0"/>
    </xf>
    <xf borderId="42" fillId="11" fontId="3" numFmtId="0" xfId="0" applyAlignment="1" applyBorder="1" applyFont="1">
      <alignment shrinkToFit="0" wrapText="1"/>
    </xf>
    <xf borderId="42" fillId="11" fontId="3" numFmtId="0" xfId="0" applyAlignment="1" applyBorder="1" applyFont="1">
      <alignment horizontal="right" shrinkToFit="0" wrapText="0"/>
    </xf>
    <xf borderId="42" fillId="11" fontId="3" numFmtId="170" xfId="0" applyAlignment="1" applyBorder="1" applyFont="1" applyNumberFormat="1">
      <alignment horizontal="right" shrinkToFit="0" wrapText="1"/>
    </xf>
    <xf borderId="43" fillId="0" fontId="3" numFmtId="0" xfId="0" applyAlignment="1" applyBorder="1" applyFont="1">
      <alignment horizontal="right" shrinkToFit="0" vertical="center" wrapText="0"/>
    </xf>
    <xf borderId="42" fillId="0" fontId="3" numFmtId="10" xfId="0" applyAlignment="1" applyBorder="1" applyFont="1" applyNumberFormat="1">
      <alignment horizontal="right" shrinkToFit="0" wrapText="0"/>
    </xf>
    <xf borderId="42" fillId="0" fontId="3" numFmtId="3" xfId="0" applyAlignment="1" applyBorder="1" applyFont="1" applyNumberFormat="1">
      <alignment horizontal="right" shrinkToFit="0" wrapText="0"/>
    </xf>
    <xf borderId="38" fillId="0" fontId="3" numFmtId="0" xfId="0" applyAlignment="1" applyBorder="1" applyFont="1">
      <alignment horizontal="center" shrinkToFit="0" vertical="center" wrapText="0"/>
    </xf>
    <xf borderId="42" fillId="0" fontId="3" numFmtId="0" xfId="0" applyAlignment="1" applyBorder="1" applyFont="1">
      <alignment horizontal="right" shrinkToFit="0" wrapText="1"/>
    </xf>
    <xf borderId="42" fillId="0" fontId="3" numFmtId="17" xfId="0" applyAlignment="1" applyBorder="1" applyFont="1" applyNumberFormat="1">
      <alignment shrinkToFit="0" wrapText="0"/>
    </xf>
    <xf borderId="42" fillId="0" fontId="3" numFmtId="170" xfId="0" applyAlignment="1" applyBorder="1" applyFont="1" applyNumberFormat="1">
      <alignment horizontal="right" shrinkToFit="0" wrapText="0"/>
    </xf>
    <xf borderId="44" fillId="0" fontId="3" numFmtId="0" xfId="0" applyAlignment="1" applyBorder="1" applyFont="1">
      <alignment horizontal="right" shrinkToFit="0" vertical="center" wrapText="0"/>
    </xf>
    <xf borderId="45" fillId="0" fontId="3" numFmtId="170" xfId="0" applyAlignment="1" applyBorder="1" applyFont="1" applyNumberFormat="1">
      <alignment horizontal="right" shrinkToFit="0" wrapText="0"/>
    </xf>
    <xf borderId="38" fillId="0" fontId="3" numFmtId="0" xfId="0" applyAlignment="1" applyBorder="1" applyFont="1">
      <alignment horizontal="right" shrinkToFit="0" vertical="center" wrapText="0"/>
    </xf>
    <xf borderId="26" fillId="3" fontId="27" numFmtId="0" xfId="0" applyAlignment="1" applyBorder="1" applyFont="1">
      <alignment shrinkToFit="0" wrapText="1"/>
    </xf>
    <xf borderId="26" fillId="3" fontId="28" numFmtId="171" xfId="0" applyAlignment="1" applyBorder="1" applyFont="1" applyNumberFormat="1">
      <alignment horizontal="right" shrinkToFit="0" wrapText="1"/>
    </xf>
    <xf borderId="26" fillId="0" fontId="28" numFmtId="17" xfId="0" applyAlignment="1" applyBorder="1" applyFont="1" applyNumberFormat="1">
      <alignment horizontal="right" shrinkToFit="0" wrapText="1"/>
    </xf>
    <xf borderId="0" fillId="0" fontId="3" numFmtId="168" xfId="0" applyAlignment="1" applyFont="1" applyNumberFormat="1">
      <alignment shrinkToFit="0" wrapText="1"/>
    </xf>
    <xf borderId="0" fillId="0" fontId="16" numFmtId="168" xfId="0" applyAlignment="1" applyFont="1" applyNumberFormat="1">
      <alignment shrinkToFit="0" wrapText="1"/>
    </xf>
    <xf borderId="26" fillId="0" fontId="3" numFmtId="17" xfId="0" applyAlignment="1" applyBorder="1" applyFont="1" applyNumberFormat="1">
      <alignment shrinkToFit="0" wrapText="1"/>
    </xf>
    <xf borderId="27" fillId="0" fontId="3" numFmtId="0" xfId="0" applyAlignment="1" applyBorder="1" applyFont="1">
      <alignment horizontal="center" shrinkToFit="0" wrapText="1"/>
    </xf>
    <xf borderId="26" fillId="0" fontId="3" numFmtId="1" xfId="0" applyAlignment="1" applyBorder="1" applyFont="1" applyNumberFormat="1">
      <alignment shrinkToFit="0" wrapText="1"/>
    </xf>
    <xf borderId="26" fillId="3" fontId="26" numFmtId="171" xfId="0" applyAlignment="1" applyBorder="1" applyFont="1" applyNumberFormat="1">
      <alignment horizontal="right" shrinkToFit="0" wrapText="1"/>
    </xf>
    <xf borderId="26" fillId="0" fontId="26" numFmtId="17" xfId="0" applyAlignment="1" applyBorder="1" applyFont="1" applyNumberFormat="1">
      <alignment horizontal="right" shrinkToFit="0" wrapText="1"/>
    </xf>
    <xf borderId="26" fillId="3" fontId="27" numFmtId="171" xfId="0" applyAlignment="1" applyBorder="1" applyFont="1" applyNumberFormat="1">
      <alignment horizontal="right" shrinkToFit="0" wrapText="1"/>
    </xf>
    <xf borderId="26" fillId="0" fontId="26" numFmtId="171" xfId="0" applyAlignment="1" applyBorder="1" applyFont="1" applyNumberFormat="1">
      <alignment horizontal="right" shrinkToFit="0" wrapText="1"/>
    </xf>
    <xf borderId="26" fillId="0" fontId="26" numFmtId="0" xfId="0" applyAlignment="1" applyBorder="1" applyFont="1">
      <alignment shrinkToFit="0" vertical="center" wrapText="0"/>
    </xf>
    <xf borderId="0" fillId="0" fontId="21" numFmtId="0" xfId="0" applyAlignment="1" applyFont="1">
      <alignment horizontal="left" shrinkToFit="0" vertical="center" wrapText="0"/>
    </xf>
    <xf borderId="0" fillId="0" fontId="3" numFmtId="172" xfId="0" applyAlignment="1" applyFont="1" applyNumberFormat="1">
      <alignment shrinkToFit="0" wrapText="1"/>
    </xf>
    <xf borderId="0" fillId="0" fontId="21" numFmtId="0" xfId="0" applyAlignment="1" applyFont="1">
      <alignment horizontal="center" shrinkToFit="0" vertical="center" wrapText="0"/>
    </xf>
    <xf borderId="0" fillId="0" fontId="21" numFmtId="172" xfId="0" applyAlignment="1" applyFont="1" applyNumberFormat="1">
      <alignment horizontal="center" shrinkToFit="0" vertical="center" wrapText="0"/>
    </xf>
    <xf borderId="46" fillId="0" fontId="16" numFmtId="0" xfId="0" applyAlignment="1" applyBorder="1" applyFont="1">
      <alignment horizontal="center" shrinkToFit="0" vertical="center" wrapText="1"/>
    </xf>
    <xf borderId="47" fillId="0" fontId="16" numFmtId="172" xfId="0" applyAlignment="1" applyBorder="1" applyFont="1" applyNumberFormat="1">
      <alignment horizontal="center" shrinkToFit="0" vertical="center" wrapText="1"/>
    </xf>
    <xf borderId="48" fillId="0" fontId="16" numFmtId="172" xfId="0" applyAlignment="1" applyBorder="1" applyFont="1" applyNumberFormat="1">
      <alignment horizontal="center" shrinkToFit="0" vertical="center" wrapText="1"/>
    </xf>
    <xf borderId="49" fillId="0" fontId="3" numFmtId="0" xfId="0" applyAlignment="1" applyBorder="1" applyFont="1">
      <alignment shrinkToFit="0" wrapText="0"/>
    </xf>
    <xf borderId="50" fillId="0" fontId="3" numFmtId="172" xfId="0" applyAlignment="1" applyBorder="1" applyFont="1" applyNumberFormat="1">
      <alignment shrinkToFit="0" wrapText="0"/>
    </xf>
    <xf borderId="51" fillId="0" fontId="3" numFmtId="172" xfId="0" applyAlignment="1" applyBorder="1" applyFont="1" applyNumberFormat="1">
      <alignment shrinkToFit="0" wrapText="0"/>
    </xf>
    <xf borderId="52" fillId="0" fontId="3" numFmtId="0" xfId="0" applyAlignment="1" applyBorder="1" applyFont="1">
      <alignment shrinkToFit="0" wrapText="0"/>
    </xf>
    <xf borderId="53" fillId="0" fontId="3" numFmtId="172" xfId="0" applyAlignment="1" applyBorder="1" applyFont="1" applyNumberFormat="1">
      <alignment shrinkToFit="0" wrapText="0"/>
    </xf>
    <xf borderId="54" fillId="0" fontId="3" numFmtId="172" xfId="0" applyAlignment="1" applyBorder="1" applyFont="1" applyNumberFormat="1">
      <alignment shrinkToFit="0" wrapText="0"/>
    </xf>
    <xf borderId="55" fillId="0" fontId="3" numFmtId="0" xfId="0" applyAlignment="1" applyBorder="1" applyFont="1">
      <alignment shrinkToFit="0" wrapText="0"/>
    </xf>
    <xf borderId="56" fillId="0" fontId="3" numFmtId="172" xfId="0" applyAlignment="1" applyBorder="1" applyFont="1" applyNumberFormat="1">
      <alignment shrinkToFit="0" wrapText="0"/>
    </xf>
    <xf borderId="57" fillId="0" fontId="3" numFmtId="172" xfId="0" applyAlignment="1" applyBorder="1" applyFont="1" applyNumberFormat="1">
      <alignment shrinkToFit="0" wrapText="0"/>
    </xf>
    <xf borderId="0" fillId="0" fontId="16" numFmtId="0" xfId="0" applyAlignment="1" applyFont="1">
      <alignment shrinkToFit="0" wrapText="0"/>
    </xf>
    <xf borderId="55" fillId="0" fontId="16" numFmtId="0" xfId="0" applyAlignment="1" applyBorder="1" applyFont="1">
      <alignment shrinkToFit="0" wrapText="0"/>
    </xf>
    <xf borderId="56" fillId="0" fontId="16" numFmtId="172" xfId="0" applyAlignment="1" applyBorder="1" applyFont="1" applyNumberFormat="1">
      <alignment shrinkToFit="0" wrapText="0"/>
    </xf>
    <xf borderId="57" fillId="0" fontId="16" numFmtId="172" xfId="0" applyAlignment="1" applyBorder="1" applyFont="1" applyNumberFormat="1">
      <alignment shrinkToFit="0" wrapText="0"/>
    </xf>
    <xf borderId="0" fillId="0" fontId="3" numFmtId="172" xfId="0" applyAlignment="1" applyFont="1" applyNumberFormat="1">
      <alignment shrinkToFit="0" wrapText="0"/>
    </xf>
    <xf borderId="50" fillId="0" fontId="3" numFmtId="173" xfId="0" applyAlignment="1" applyBorder="1" applyFont="1" applyNumberFormat="1">
      <alignment shrinkToFit="0" wrapText="0"/>
    </xf>
    <xf borderId="58" fillId="0" fontId="3" numFmtId="0" xfId="0" applyAlignment="1" applyBorder="1" applyFont="1">
      <alignment shrinkToFit="0" wrapText="1"/>
    </xf>
    <xf borderId="59" fillId="0" fontId="29" numFmtId="0" xfId="0" applyAlignment="1" applyBorder="1" applyFont="1">
      <alignment horizontal="center" shrinkToFit="0" wrapText="1"/>
    </xf>
    <xf borderId="60" fillId="0" fontId="3" numFmtId="0" xfId="0" applyAlignment="1" applyBorder="1" applyFont="1">
      <alignment shrinkToFit="0" wrapText="1"/>
    </xf>
    <xf borderId="60" fillId="16" fontId="25" numFmtId="0" xfId="0" applyAlignment="1" applyBorder="1" applyFill="1" applyFont="1">
      <alignment horizontal="center" shrinkToFit="0" wrapText="1"/>
    </xf>
    <xf borderId="26" fillId="0" fontId="3" numFmtId="0" xfId="0" applyAlignment="1" applyBorder="1" applyFont="1">
      <alignment horizontal="center" shrinkToFit="0" wrapText="1"/>
    </xf>
    <xf borderId="61" fillId="0" fontId="26" numFmtId="0" xfId="0" applyAlignment="1" applyBorder="1" applyFont="1">
      <alignment shrinkToFit="0" wrapText="1"/>
    </xf>
    <xf borderId="60" fillId="0" fontId="3" numFmtId="166" xfId="0" applyAlignment="1" applyBorder="1" applyFont="1" applyNumberFormat="1">
      <alignment horizontal="center" shrinkToFit="0" wrapText="1"/>
    </xf>
    <xf borderId="26" fillId="17" fontId="30" numFmtId="0" xfId="0" applyAlignment="1" applyBorder="1" applyFill="1" applyFont="1">
      <alignment horizontal="right" shrinkToFit="0" wrapText="1"/>
    </xf>
    <xf borderId="26" fillId="17" fontId="30" numFmtId="0" xfId="0" applyAlignment="1" applyBorder="1" applyFont="1">
      <alignment shrinkToFit="0" wrapText="1"/>
    </xf>
    <xf borderId="26" fillId="17" fontId="30" numFmtId="170" xfId="0" applyAlignment="1" applyBorder="1" applyFont="1" applyNumberFormat="1">
      <alignment horizontal="right" shrinkToFit="0" wrapText="1"/>
    </xf>
    <xf borderId="62" fillId="17" fontId="30" numFmtId="0" xfId="0" applyAlignment="1" applyBorder="1" applyFont="1">
      <alignment horizontal="left" shrinkToFit="0" wrapText="1"/>
    </xf>
    <xf borderId="63" fillId="17" fontId="30" numFmtId="0" xfId="0" applyAlignment="1" applyBorder="1" applyFont="1">
      <alignment horizontal="left" shrinkToFit="0" wrapText="1"/>
    </xf>
    <xf borderId="64" fillId="17" fontId="30" numFmtId="0" xfId="0" applyAlignment="1" applyBorder="1" applyFont="1">
      <alignment shrinkToFit="0" wrapText="1"/>
    </xf>
    <xf borderId="61" fillId="3" fontId="26" numFmtId="0" xfId="0" applyAlignment="1" applyBorder="1" applyFont="1">
      <alignment shrinkToFit="0" wrapText="1"/>
    </xf>
    <xf borderId="60" fillId="3" fontId="3" numFmtId="1" xfId="0" applyAlignment="1" applyBorder="1" applyFont="1" applyNumberFormat="1">
      <alignment horizontal="center" shrinkToFit="0" wrapText="1"/>
    </xf>
    <xf borderId="26" fillId="0" fontId="3" numFmtId="170" xfId="0" applyAlignment="1" applyBorder="1" applyFont="1" applyNumberFormat="1">
      <alignment horizontal="right" shrinkToFit="0" wrapText="1"/>
    </xf>
    <xf borderId="27" fillId="0" fontId="3" numFmtId="0" xfId="0" applyAlignment="1" applyBorder="1" applyFont="1">
      <alignment horizontal="left" shrinkToFit="0" wrapText="1"/>
    </xf>
    <xf borderId="22" fillId="0" fontId="3" numFmtId="0" xfId="0" applyAlignment="1" applyBorder="1" applyFont="1">
      <alignment horizontal="left" shrinkToFit="0" wrapText="1"/>
    </xf>
    <xf borderId="60" fillId="3" fontId="3" numFmtId="0" xfId="0" applyAlignment="1" applyBorder="1" applyFont="1">
      <alignment horizontal="center" shrinkToFit="0" wrapText="1"/>
    </xf>
    <xf borderId="0" fillId="0" fontId="31" numFmtId="0" xfId="0" applyAlignment="1" applyFont="1">
      <alignment shrinkToFit="0" wrapText="1"/>
    </xf>
    <xf borderId="60" fillId="0" fontId="26" numFmtId="169" xfId="0" applyAlignment="1" applyBorder="1" applyFont="1" applyNumberFormat="1">
      <alignment horizontal="center" shrinkToFit="0" wrapText="1"/>
    </xf>
    <xf borderId="26" fillId="0" fontId="3" numFmtId="170" xfId="0" applyAlignment="1" applyBorder="1" applyFont="1" applyNumberFormat="1">
      <alignment horizontal="left" shrinkToFit="0" wrapText="1"/>
    </xf>
    <xf borderId="26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26" fillId="16" fontId="32" numFmtId="0" xfId="0" applyAlignment="1" applyBorder="1" applyFont="1">
      <alignment horizontal="right" shrinkToFit="0" wrapText="1"/>
    </xf>
    <xf borderId="26" fillId="16" fontId="32" numFmtId="0" xfId="0" applyAlignment="1" applyBorder="1" applyFont="1">
      <alignment shrinkToFit="0" wrapText="1"/>
    </xf>
    <xf borderId="26" fillId="16" fontId="32" numFmtId="170" xfId="0" applyAlignment="1" applyBorder="1" applyFont="1" applyNumberFormat="1">
      <alignment horizontal="right" shrinkToFit="0" wrapText="1"/>
    </xf>
    <xf borderId="27" fillId="16" fontId="33" numFmtId="0" xfId="0" applyAlignment="1" applyBorder="1" applyFont="1">
      <alignment horizontal="center" shrinkToFit="0" wrapText="1"/>
    </xf>
    <xf borderId="26" fillId="3" fontId="3" numFmtId="0" xfId="0" applyAlignment="1" applyBorder="1" applyFont="1">
      <alignment horizontal="center" shrinkToFit="0" wrapText="1"/>
    </xf>
    <xf borderId="26" fillId="0" fontId="26" numFmtId="9" xfId="0" applyAlignment="1" applyBorder="1" applyFont="1" applyNumberFormat="1">
      <alignment horizontal="center" shrinkToFit="0" wrapText="1"/>
    </xf>
    <xf borderId="26" fillId="0" fontId="26" numFmtId="0" xfId="0" applyAlignment="1" applyBorder="1" applyFont="1">
      <alignment shrinkToFit="0" wrapText="1"/>
    </xf>
    <xf borderId="26" fillId="0" fontId="26" numFmtId="168" xfId="0" applyAlignment="1" applyBorder="1" applyFont="1" applyNumberFormat="1">
      <alignment horizontal="center" shrinkToFit="0" wrapText="1"/>
    </xf>
    <xf borderId="26" fillId="15" fontId="26" numFmtId="0" xfId="0" applyAlignment="1" applyBorder="1" applyFont="1">
      <alignment shrinkToFit="0" wrapText="1"/>
    </xf>
    <xf borderId="26" fillId="15" fontId="10" numFmtId="168" xfId="0" applyAlignment="1" applyBorder="1" applyFont="1" applyNumberFormat="1">
      <alignment horizontal="center" shrinkToFit="0" wrapText="1"/>
    </xf>
    <xf borderId="26" fillId="15" fontId="3" numFmtId="168" xfId="0" applyAlignment="1" applyBorder="1" applyFont="1" applyNumberFormat="1">
      <alignment horizontal="center" shrinkToFit="0" wrapText="1"/>
    </xf>
    <xf borderId="26" fillId="15" fontId="34" numFmtId="168" xfId="0" applyAlignment="1" applyBorder="1" applyFont="1" applyNumberFormat="1">
      <alignment horizontal="center" shrinkToFit="0" wrapText="1"/>
    </xf>
    <xf borderId="26" fillId="10" fontId="30" numFmtId="168" xfId="0" applyAlignment="1" applyBorder="1" applyFont="1" applyNumberFormat="1">
      <alignment horizontal="center" shrinkToFit="0" wrapText="1"/>
    </xf>
    <xf borderId="64" fillId="15" fontId="3" numFmtId="0" xfId="0" applyAlignment="1" applyBorder="1" applyFont="1">
      <alignment shrinkToFit="0" wrapText="1"/>
    </xf>
    <xf borderId="26" fillId="15" fontId="3" numFmtId="0" xfId="0" applyAlignment="1" applyBorder="1" applyFont="1">
      <alignment shrinkToFit="0" wrapText="1"/>
    </xf>
    <xf borderId="26" fillId="0" fontId="3" numFmtId="168" xfId="0" applyAlignment="1" applyBorder="1" applyFont="1" applyNumberFormat="1">
      <alignment horizontal="center" shrinkToFit="0" wrapText="1"/>
    </xf>
    <xf borderId="26" fillId="10" fontId="35" numFmtId="168" xfId="0" applyAlignment="1" applyBorder="1" applyFont="1" applyNumberFormat="1">
      <alignment horizontal="center" shrinkToFit="0" wrapText="1"/>
    </xf>
    <xf borderId="26" fillId="0" fontId="13" numFmtId="170" xfId="0" applyAlignment="1" applyBorder="1" applyFont="1" applyNumberFormat="1">
      <alignment horizontal="center" shrinkToFit="0" wrapText="1"/>
    </xf>
    <xf borderId="26" fillId="0" fontId="6" numFmtId="170" xfId="0" applyAlignment="1" applyBorder="1" applyFont="1" applyNumberFormat="1">
      <alignment horizontal="center" shrinkToFit="0" wrapText="1"/>
    </xf>
    <xf borderId="26" fillId="0" fontId="6" numFmtId="0" xfId="0" applyAlignment="1" applyBorder="1" applyFont="1">
      <alignment horizontal="center" shrinkToFit="0" wrapText="1"/>
    </xf>
    <xf borderId="26" fillId="15" fontId="36" numFmtId="170" xfId="0" applyAlignment="1" applyBorder="1" applyFont="1" applyNumberFormat="1">
      <alignment horizontal="center" shrinkToFit="0" wrapText="1"/>
    </xf>
    <xf borderId="26" fillId="0" fontId="26" numFmtId="168" xfId="0" applyAlignment="1" applyBorder="1" applyFont="1" applyNumberFormat="1">
      <alignment horizontal="right" shrinkToFit="0" wrapText="1"/>
    </xf>
    <xf borderId="26" fillId="15" fontId="21" numFmtId="16" xfId="0" applyAlignment="1" applyBorder="1" applyFont="1" applyNumberFormat="1">
      <alignment shrinkToFit="0" wrapText="1"/>
    </xf>
    <xf borderId="26" fillId="15" fontId="3" numFmtId="0" xfId="0" applyAlignment="1" applyBorder="1" applyFont="1">
      <alignment horizontal="center" shrinkToFit="0" wrapText="1"/>
    </xf>
    <xf borderId="26" fillId="0" fontId="21" numFmtId="170" xfId="0" applyAlignment="1" applyBorder="1" applyFont="1" applyNumberFormat="1">
      <alignment horizontal="center" shrinkToFit="0" wrapText="1"/>
    </xf>
    <xf borderId="26" fillId="0" fontId="3" numFmtId="10" xfId="0" applyAlignment="1" applyBorder="1" applyFont="1" applyNumberFormat="1">
      <alignment horizontal="center" shrinkToFit="0" wrapText="1"/>
    </xf>
    <xf borderId="26" fillId="15" fontId="16" numFmtId="16" xfId="0" applyAlignment="1" applyBorder="1" applyFont="1" applyNumberFormat="1">
      <alignment shrinkToFit="0" wrapText="1"/>
    </xf>
    <xf borderId="26" fillId="15" fontId="26" numFmtId="170" xfId="0" applyAlignment="1" applyBorder="1" applyFont="1" applyNumberFormat="1">
      <alignment horizontal="center" shrinkToFit="0" wrapText="1"/>
    </xf>
    <xf borderId="26" fillId="0" fontId="16" numFmtId="171" xfId="0" applyAlignment="1" applyBorder="1" applyFont="1" applyNumberFormat="1">
      <alignment horizontal="center" shrinkToFit="0" wrapText="1"/>
    </xf>
    <xf borderId="26" fillId="0" fontId="3" numFmtId="170" xfId="0" applyAlignment="1" applyBorder="1" applyFont="1" applyNumberFormat="1">
      <alignment horizontal="center" shrinkToFit="0" wrapText="1"/>
    </xf>
    <xf borderId="26" fillId="15" fontId="3" numFmtId="171" xfId="0" applyAlignment="1" applyBorder="1" applyFont="1" applyNumberFormat="1">
      <alignment horizontal="center" shrinkToFit="0" wrapText="1"/>
    </xf>
    <xf borderId="26" fillId="15" fontId="26" numFmtId="171" xfId="0" applyAlignment="1" applyBorder="1" applyFont="1" applyNumberFormat="1">
      <alignment horizontal="center" shrinkToFit="0" wrapText="1"/>
    </xf>
    <xf borderId="27" fillId="0" fontId="3" numFmtId="0" xfId="0" applyAlignment="1" applyBorder="1" applyFont="1">
      <alignment shrinkToFit="0" vertical="center" wrapText="1"/>
    </xf>
    <xf borderId="65" fillId="0" fontId="3" numFmtId="0" xfId="0" applyAlignment="1" applyBorder="1" applyFont="1">
      <alignment shrinkToFit="0" wrapText="1"/>
    </xf>
    <xf borderId="45" fillId="0" fontId="3" numFmtId="0" xfId="0" applyAlignment="1" applyBorder="1" applyFont="1">
      <alignment shrinkToFit="0" wrapText="1"/>
    </xf>
    <xf borderId="6" fillId="4" fontId="4" numFmtId="164" xfId="0" applyAlignment="1" applyBorder="1" applyFont="1" applyNumberFormat="1">
      <alignment horizontal="center" shrinkToFit="0" vertical="center" wrapText="0"/>
    </xf>
    <xf borderId="6" fillId="0" fontId="6" numFmtId="166" xfId="0" applyAlignment="1" applyBorder="1" applyFont="1" applyNumberFormat="1">
      <alignment horizontal="center" shrinkToFit="0" vertical="center" wrapText="0"/>
    </xf>
    <xf borderId="19" fillId="5" fontId="6" numFmtId="166" xfId="0" applyAlignment="1" applyBorder="1" applyFont="1" applyNumberFormat="1">
      <alignment shrinkToFit="0" vertical="center" wrapText="0"/>
    </xf>
    <xf borderId="8" fillId="0" fontId="6" numFmtId="49" xfId="0" applyAlignment="1" applyBorder="1" applyFont="1" applyNumberFormat="1">
      <alignment shrinkToFit="0" vertical="center" wrapText="0"/>
    </xf>
    <xf borderId="17" fillId="6" fontId="6" numFmtId="166" xfId="0" applyAlignment="1" applyBorder="1" applyFont="1" applyNumberFormat="1">
      <alignment shrinkToFit="0" vertical="center" wrapText="0"/>
    </xf>
    <xf borderId="7" fillId="0" fontId="7" numFmtId="166" xfId="0" applyAlignment="1" applyBorder="1" applyFont="1" applyNumberFormat="1">
      <alignment horizontal="center" shrinkToFit="0" vertical="center" wrapText="0"/>
    </xf>
    <xf borderId="20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wrapText="0"/>
    </xf>
    <xf borderId="0" fillId="0" fontId="3" numFmtId="14" xfId="0" applyAlignment="1" applyFont="1" applyNumberFormat="1">
      <alignment shrinkToFit="0" wrapText="0"/>
    </xf>
    <xf borderId="0" fillId="0" fontId="3" numFmtId="14" xfId="0" applyAlignment="1" applyFont="1" applyNumberFormat="1">
      <alignment shrinkToFit="0" wrapText="1"/>
    </xf>
    <xf borderId="66" fillId="0" fontId="3" numFmtId="0" xfId="0" applyAlignment="1" applyBorder="1" applyFont="1">
      <alignment shrinkToFit="0" wrapText="0"/>
    </xf>
    <xf borderId="67" fillId="0" fontId="16" numFmtId="0" xfId="0" applyAlignment="1" applyBorder="1" applyFont="1">
      <alignment shrinkToFit="0" wrapText="0"/>
    </xf>
    <xf borderId="67" fillId="0" fontId="3" numFmtId="0" xfId="0" applyAlignment="1" applyBorder="1" applyFont="1">
      <alignment shrinkToFit="0" wrapText="0"/>
    </xf>
    <xf borderId="67" fillId="0" fontId="3" numFmtId="172" xfId="0" applyAlignment="1" applyBorder="1" applyFont="1" applyNumberFormat="1">
      <alignment shrinkToFit="0" wrapText="0"/>
    </xf>
    <xf borderId="68" fillId="0" fontId="3" numFmtId="0" xfId="0" applyAlignment="1" applyBorder="1" applyFont="1">
      <alignment shrinkToFit="0" wrapText="0"/>
    </xf>
    <xf borderId="69" fillId="0" fontId="3" numFmtId="0" xfId="0" applyAlignment="1" applyBorder="1" applyFont="1">
      <alignment shrinkToFit="0" wrapText="0"/>
    </xf>
    <xf borderId="69" fillId="0" fontId="3" numFmtId="172" xfId="0" applyAlignment="1" applyBorder="1" applyFont="1" applyNumberFormat="1">
      <alignment shrinkToFit="0" wrapText="0"/>
    </xf>
    <xf borderId="70" fillId="0" fontId="3" numFmtId="172" xfId="0" applyAlignment="1" applyBorder="1" applyFont="1" applyNumberFormat="1">
      <alignment shrinkToFit="0" wrapText="0"/>
    </xf>
    <xf borderId="67" fillId="0" fontId="16" numFmtId="172" xfId="0" applyAlignment="1" applyBorder="1" applyFont="1" applyNumberFormat="1">
      <alignment shrinkToFit="0" wrapText="0"/>
    </xf>
    <xf borderId="71" fillId="0" fontId="3" numFmtId="172" xfId="0" applyAlignment="1" applyBorder="1" applyFont="1" applyNumberFormat="1">
      <alignment shrinkToFit="0" wrapText="0"/>
    </xf>
    <xf borderId="70" fillId="0" fontId="3" numFmtId="0" xfId="0" applyAlignment="1" applyBorder="1" applyFont="1">
      <alignment shrinkToFit="0" wrapText="0"/>
    </xf>
    <xf borderId="71" fillId="0" fontId="3" numFmtId="0" xfId="0" applyAlignment="1" applyBorder="1" applyFont="1">
      <alignment shrinkToFit="0" wrapText="0"/>
    </xf>
    <xf borderId="67" fillId="0" fontId="3" numFmtId="9" xfId="0" applyAlignment="1" applyBorder="1" applyFont="1" applyNumberFormat="1">
      <alignment shrinkToFit="0" wrapText="0"/>
    </xf>
    <xf borderId="69" fillId="0" fontId="37" numFmtId="9" xfId="0" applyAlignment="1" applyBorder="1" applyFont="1" applyNumberFormat="1">
      <alignment shrinkToFit="0" wrapText="0"/>
    </xf>
    <xf borderId="72" fillId="0" fontId="3" numFmtId="172" xfId="0" applyAlignment="1" applyBorder="1" applyFont="1" applyNumberFormat="1">
      <alignment shrinkToFit="0" wrapText="0"/>
    </xf>
    <xf borderId="73" fillId="0" fontId="3" numFmtId="0" xfId="0" applyAlignment="1" applyBorder="1" applyFont="1">
      <alignment shrinkToFit="0" wrapText="0"/>
    </xf>
  </cellXfs>
  <cellStyles count="1">
    <cellStyle xfId="0" name="Normal" builtinId="0"/>
  </cellStyles>
  <dxfs count="4">
    <dxf>
      <font/>
      <fill>
        <patternFill patternType="solid">
          <fgColor rgb="FF92D050"/>
          <bgColor rgb="FF92D050"/>
        </patternFill>
      </fill>
      <border/>
    </dxf>
    <dxf>
      <font>
        <color rgb="FFC00000"/>
      </font>
      <fill>
        <patternFill patternType="solid">
          <fgColor rgb="FFFFC7CE"/>
          <bgColor rgb="FFFFC7CE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Dados!$B$21:$B$29</c:f>
            </c:strRef>
          </c:cat>
          <c:val>
            <c:numRef>
              <c:f>Dados!$G$21:$G$29</c:f>
              <c:numCache/>
            </c:numRef>
          </c:val>
        </c:ser>
        <c:overlap val="100"/>
        <c:axId val="1021519889"/>
        <c:axId val="1573305050"/>
      </c:barChart>
      <c:catAx>
        <c:axId val="10215198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573305050"/>
      </c:catAx>
      <c:valAx>
        <c:axId val="1573305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02151988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19050">
              <a:solidFill>
                <a:srgbClr val="3366C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Dados!$C$146:$N$146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Dados!$C$147:$N$147</c:f>
              <c:numCache/>
            </c:numRef>
          </c:val>
          <c:smooth val="0"/>
        </c:ser>
        <c:ser>
          <c:idx val="2"/>
          <c:order val="2"/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Dados!$C$148:$N$148</c:f>
              <c:numCache/>
            </c:numRef>
          </c:val>
          <c:smooth val="0"/>
        </c:ser>
        <c:axId val="697602311"/>
        <c:axId val="724085989"/>
      </c:lineChart>
      <c:catAx>
        <c:axId val="697602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724085989"/>
      </c:catAx>
      <c:valAx>
        <c:axId val="72408598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6976023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Dados!$B$47:$B$51</c:f>
            </c:strRef>
          </c:cat>
          <c:val>
            <c:numRef>
              <c:f>Dados!$C$47:$C$51</c:f>
              <c:numCache/>
            </c:numRef>
          </c:val>
        </c:ser>
        <c:overlap val="100"/>
        <c:axId val="147327490"/>
        <c:axId val="547673358"/>
      </c:barChart>
      <c:catAx>
        <c:axId val="1473274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547673358"/>
      </c:catAx>
      <c:valAx>
        <c:axId val="547673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47327490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Dados!$B$54:$B$67</c:f>
            </c:strRef>
          </c:cat>
          <c:val>
            <c:numRef>
              <c:f>Dados!$C$54:$C$67</c:f>
              <c:numCache/>
            </c:numRef>
          </c:val>
        </c:ser>
        <c:overlap val="100"/>
        <c:axId val="492521572"/>
        <c:axId val="865374288"/>
      </c:barChart>
      <c:catAx>
        <c:axId val="4925215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865374288"/>
      </c:catAx>
      <c:valAx>
        <c:axId val="86537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49252157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Dados!$B$71:$B$76</c:f>
            </c:strRef>
          </c:cat>
          <c:val>
            <c:numRef>
              <c:f>Dados!$C$71:$C$76</c:f>
              <c:numCache/>
            </c:numRef>
          </c:val>
        </c:ser>
        <c:axId val="1049308881"/>
        <c:axId val="2007268332"/>
      </c:barChart>
      <c:catAx>
        <c:axId val="10493088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2007268332"/>
      </c:catAx>
      <c:valAx>
        <c:axId val="2007268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04930888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Dados!$B$80:$B$84</c:f>
            </c:strRef>
          </c:cat>
          <c:val>
            <c:numRef>
              <c:f>Dados!$C$80:$C$84</c:f>
              <c:numCache/>
            </c:numRef>
          </c:val>
        </c:ser>
        <c:overlap val="100"/>
        <c:axId val="1613122392"/>
        <c:axId val="567201555"/>
      </c:barChart>
      <c:catAx>
        <c:axId val="16131223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567201555"/>
      </c:catAx>
      <c:valAx>
        <c:axId val="567201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61312239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Dados!$B$88:$B$98</c:f>
            </c:strRef>
          </c:cat>
          <c:val>
            <c:numRef>
              <c:f>Dados!$C$88:$C$98</c:f>
              <c:numCache/>
            </c:numRef>
          </c:val>
        </c:ser>
        <c:overlap val="100"/>
        <c:axId val="875824151"/>
        <c:axId val="1516370497"/>
      </c:barChart>
      <c:catAx>
        <c:axId val="8758241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516370497"/>
      </c:catAx>
      <c:valAx>
        <c:axId val="1516370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87582415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Dados!$B$102:$B$110</c:f>
            </c:strRef>
          </c:cat>
          <c:val>
            <c:numRef>
              <c:f>Dados!$C$102:$C$110</c:f>
              <c:numCache/>
            </c:numRef>
          </c:val>
        </c:ser>
        <c:overlap val="100"/>
        <c:axId val="2004640365"/>
        <c:axId val="495219735"/>
      </c:barChart>
      <c:catAx>
        <c:axId val="20046403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495219735"/>
      </c:catAx>
      <c:valAx>
        <c:axId val="495219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200464036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Dados!$B$114:$B$116</c:f>
            </c:strRef>
          </c:cat>
          <c:val>
            <c:numRef>
              <c:f>Dados!$C$114:$C$116</c:f>
              <c:numCache/>
            </c:numRef>
          </c:val>
        </c:ser>
        <c:overlap val="100"/>
        <c:axId val="1148497256"/>
        <c:axId val="658344180"/>
      </c:barChart>
      <c:catAx>
        <c:axId val="11484972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658344180"/>
      </c:catAx>
      <c:valAx>
        <c:axId val="658344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14849725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Dados!$B$119:$B$124</c:f>
            </c:strRef>
          </c:cat>
          <c:val>
            <c:numRef>
              <c:f>Dados!$C$119:$C$124</c:f>
              <c:numCache/>
            </c:numRef>
          </c:val>
        </c:ser>
        <c:overlap val="100"/>
        <c:axId val="1277771357"/>
        <c:axId val="185402013"/>
      </c:barChart>
      <c:catAx>
        <c:axId val="12777713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85402013"/>
      </c:catAx>
      <c:valAx>
        <c:axId val="185402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127777135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Dados!$B$127:$B$140</c:f>
            </c:strRef>
          </c:cat>
          <c:val>
            <c:numRef>
              <c:f>Dados!$C$127:$C$140</c:f>
              <c:numCache/>
            </c:numRef>
          </c:val>
        </c:ser>
        <c:overlap val="100"/>
        <c:axId val="446632839"/>
        <c:axId val="680741979"/>
      </c:barChart>
      <c:catAx>
        <c:axId val="4466328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680741979"/>
      </c:catAx>
      <c:valAx>
        <c:axId val="680741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</a:p>
        </c:txPr>
        <c:crossAx val="44663283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0</xdr:row>
      <xdr:rowOff>57150</xdr:rowOff>
    </xdr:from>
    <xdr:ext cx="1047750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123825</xdr:rowOff>
    </xdr:from>
    <xdr:ext cx="10267950" cy="5915025"/>
    <xdr:graphicFrame>
      <xdr:nvGraphicFramePr>
        <xdr:cNvPr id="16205921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1</xdr:row>
      <xdr:rowOff>95250</xdr:rowOff>
    </xdr:from>
    <xdr:ext cx="8820150" cy="981075"/>
    <xdr:sp>
      <xdr:nvSpPr>
        <xdr:cNvPr id="3" name="Shape 3"/>
        <xdr:cNvSpPr/>
      </xdr:nvSpPr>
      <xdr:spPr>
        <a:xfrm>
          <a:off x="940688" y="3294225"/>
          <a:ext cx="8810625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Para onde vai o meu dinheiro?</a:t>
          </a:r>
          <a:endParaRPr sz="1400"/>
        </a:p>
      </xdr:txBody>
    </xdr:sp>
    <xdr:clientData fLocksWithSheet="0"/>
  </xdr:oneCellAnchor>
  <xdr:oneCellAnchor>
    <xdr:from>
      <xdr:col>16</xdr:col>
      <xdr:colOff>1028700</xdr:colOff>
      <xdr:row>29</xdr:row>
      <xdr:rowOff>95250</xdr:rowOff>
    </xdr:from>
    <xdr:ext cx="228600" cy="304800"/>
    <xdr:sp>
      <xdr:nvSpPr>
        <xdr:cNvPr id="4" name="Shape 4"/>
        <xdr:cNvSpPr txBox="1"/>
      </xdr:nvSpPr>
      <xdr:spPr>
        <a:xfrm>
          <a:off x="5236463" y="3632363"/>
          <a:ext cx="2190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133350</xdr:rowOff>
    </xdr:from>
    <xdr:ext cx="10106025" cy="5372100"/>
    <xdr:graphicFrame>
      <xdr:nvGraphicFramePr>
        <xdr:cNvPr id="14563288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342900</xdr:colOff>
      <xdr:row>1</xdr:row>
      <xdr:rowOff>76200</xdr:rowOff>
    </xdr:from>
    <xdr:ext cx="5553075" cy="981075"/>
    <xdr:sp>
      <xdr:nvSpPr>
        <xdr:cNvPr id="5" name="Shape 5"/>
        <xdr:cNvSpPr/>
      </xdr:nvSpPr>
      <xdr:spPr>
        <a:xfrm>
          <a:off x="2574225" y="3294225"/>
          <a:ext cx="55435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Receita vs Despesa</a:t>
          </a:r>
          <a:endParaRPr b="0" sz="5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123825</xdr:rowOff>
    </xdr:from>
    <xdr:ext cx="10106025" cy="5353050"/>
    <xdr:graphicFrame>
      <xdr:nvGraphicFramePr>
        <xdr:cNvPr id="61629752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257175</xdr:colOff>
      <xdr:row>2</xdr:row>
      <xdr:rowOff>28575</xdr:rowOff>
    </xdr:from>
    <xdr:ext cx="6962775" cy="981075"/>
    <xdr:sp>
      <xdr:nvSpPr>
        <xdr:cNvPr id="6" name="Shape 6"/>
        <xdr:cNvSpPr/>
      </xdr:nvSpPr>
      <xdr:spPr>
        <a:xfrm>
          <a:off x="1869375" y="3294225"/>
          <a:ext cx="69532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Boletos Pessoais</a:t>
          </a:r>
          <a:endParaRPr b="0" sz="5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123825</xdr:rowOff>
    </xdr:from>
    <xdr:ext cx="10106025" cy="5353050"/>
    <xdr:graphicFrame>
      <xdr:nvGraphicFramePr>
        <xdr:cNvPr id="49575144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257175</xdr:colOff>
      <xdr:row>2</xdr:row>
      <xdr:rowOff>28575</xdr:rowOff>
    </xdr:from>
    <xdr:ext cx="6962775" cy="981075"/>
    <xdr:sp>
      <xdr:nvSpPr>
        <xdr:cNvPr id="7" name="Shape 7"/>
        <xdr:cNvSpPr/>
      </xdr:nvSpPr>
      <xdr:spPr>
        <a:xfrm>
          <a:off x="1869375" y="3294225"/>
          <a:ext cx="69532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Custos de Moradia</a:t>
          </a:r>
          <a:endParaRPr b="0" sz="5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9</xdr:row>
      <xdr:rowOff>95250</xdr:rowOff>
    </xdr:from>
    <xdr:ext cx="10106025" cy="5362575"/>
    <xdr:graphicFrame>
      <xdr:nvGraphicFramePr>
        <xdr:cNvPr id="156064507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200025</xdr:colOff>
      <xdr:row>2</xdr:row>
      <xdr:rowOff>38100</xdr:rowOff>
    </xdr:from>
    <xdr:ext cx="6591300" cy="981075"/>
    <xdr:sp>
      <xdr:nvSpPr>
        <xdr:cNvPr id="8" name="Shape 8"/>
        <xdr:cNvSpPr/>
      </xdr:nvSpPr>
      <xdr:spPr>
        <a:xfrm>
          <a:off x="2055113" y="3294225"/>
          <a:ext cx="6581775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Gastos com Dívidas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5400"/>
            <a:buFont typeface="Arial"/>
            <a:buNone/>
          </a:pPr>
          <a:r>
            <a:t/>
          </a:r>
          <a:endParaRPr b="0" sz="5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123825</xdr:rowOff>
    </xdr:from>
    <xdr:ext cx="10106025" cy="5038725"/>
    <xdr:graphicFrame>
      <xdr:nvGraphicFramePr>
        <xdr:cNvPr id="77551205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</xdr:colOff>
      <xdr:row>2</xdr:row>
      <xdr:rowOff>66675</xdr:rowOff>
    </xdr:from>
    <xdr:ext cx="6210300" cy="981075"/>
    <xdr:sp>
      <xdr:nvSpPr>
        <xdr:cNvPr id="9" name="Shape 9"/>
        <xdr:cNvSpPr/>
      </xdr:nvSpPr>
      <xdr:spPr>
        <a:xfrm>
          <a:off x="2245613" y="3294225"/>
          <a:ext cx="6200775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gastos na Saúde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10106025" cy="5372100"/>
    <xdr:graphicFrame>
      <xdr:nvGraphicFramePr>
        <xdr:cNvPr id="159598384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</xdr:colOff>
      <xdr:row>2</xdr:row>
      <xdr:rowOff>38100</xdr:rowOff>
    </xdr:from>
    <xdr:ext cx="7581900" cy="981075"/>
    <xdr:sp>
      <xdr:nvSpPr>
        <xdr:cNvPr id="10" name="Shape 10"/>
        <xdr:cNvSpPr/>
      </xdr:nvSpPr>
      <xdr:spPr>
        <a:xfrm>
          <a:off x="1559813" y="3294225"/>
          <a:ext cx="7572375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gastos no Transporte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123825</xdr:rowOff>
    </xdr:from>
    <xdr:ext cx="10106025" cy="5362575"/>
    <xdr:graphicFrame>
      <xdr:nvGraphicFramePr>
        <xdr:cNvPr id="71170033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114300</xdr:colOff>
      <xdr:row>3</xdr:row>
      <xdr:rowOff>0</xdr:rowOff>
    </xdr:from>
    <xdr:ext cx="6000750" cy="981075"/>
    <xdr:sp>
      <xdr:nvSpPr>
        <xdr:cNvPr id="11" name="Shape 11"/>
        <xdr:cNvSpPr/>
      </xdr:nvSpPr>
      <xdr:spPr>
        <a:xfrm>
          <a:off x="2350388" y="3294225"/>
          <a:ext cx="5991225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gastos Pessoais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10106025" cy="5372100"/>
    <xdr:graphicFrame>
      <xdr:nvGraphicFramePr>
        <xdr:cNvPr id="205548665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523875</xdr:colOff>
      <xdr:row>3</xdr:row>
      <xdr:rowOff>0</xdr:rowOff>
    </xdr:from>
    <xdr:ext cx="7686675" cy="981075"/>
    <xdr:sp>
      <xdr:nvSpPr>
        <xdr:cNvPr id="12" name="Shape 12"/>
        <xdr:cNvSpPr/>
      </xdr:nvSpPr>
      <xdr:spPr>
        <a:xfrm>
          <a:off x="1507425" y="3294225"/>
          <a:ext cx="76771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gastos com Educação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10106025" cy="5372100"/>
    <xdr:graphicFrame>
      <xdr:nvGraphicFramePr>
        <xdr:cNvPr id="1008618836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552450</xdr:colOff>
      <xdr:row>3</xdr:row>
      <xdr:rowOff>0</xdr:rowOff>
    </xdr:from>
    <xdr:ext cx="6486525" cy="981075"/>
    <xdr:sp>
      <xdr:nvSpPr>
        <xdr:cNvPr id="13" name="Shape 13"/>
        <xdr:cNvSpPr/>
      </xdr:nvSpPr>
      <xdr:spPr>
        <a:xfrm>
          <a:off x="2107500" y="3294225"/>
          <a:ext cx="647700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Seus gastos com Lazer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123825</xdr:rowOff>
    </xdr:from>
    <xdr:ext cx="10106025" cy="5362575"/>
    <xdr:graphicFrame>
      <xdr:nvGraphicFramePr>
        <xdr:cNvPr id="182653194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438150</xdr:colOff>
      <xdr:row>2</xdr:row>
      <xdr:rowOff>0</xdr:rowOff>
    </xdr:from>
    <xdr:ext cx="4219575" cy="981075"/>
    <xdr:sp>
      <xdr:nvSpPr>
        <xdr:cNvPr id="14" name="Shape 14"/>
        <xdr:cNvSpPr/>
      </xdr:nvSpPr>
      <xdr:spPr>
        <a:xfrm>
          <a:off x="3240975" y="3294225"/>
          <a:ext cx="42100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5400" cap="none">
              <a:solidFill>
                <a:schemeClr val="dk1"/>
              </a:solidFill>
            </a:rPr>
            <a:t>Outros Gastos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54.88"/>
    <col customWidth="1" min="2" max="2" width="9.38"/>
    <col customWidth="1" min="3" max="3" width="11.88"/>
    <col customWidth="1" min="4" max="4" width="9.75"/>
    <col customWidth="1" min="5" max="5" width="11.25"/>
    <col customWidth="1" min="6" max="6" width="9.75"/>
    <col customWidth="1" min="7" max="7" width="11.25"/>
    <col customWidth="1" min="8" max="8" width="9.75"/>
    <col customWidth="1" min="9" max="9" width="11.13"/>
    <col customWidth="1" min="10" max="10" width="9.75"/>
    <col customWidth="1" min="11" max="11" width="11.13"/>
    <col customWidth="1" min="12" max="12" width="9.75"/>
    <col customWidth="1" min="13" max="13" width="11.75"/>
    <col customWidth="1" min="14" max="14" width="9.75"/>
    <col customWidth="1" min="15" max="15" width="11.75"/>
    <col customWidth="1" min="16" max="16" width="9.75"/>
    <col customWidth="1" min="17" max="17" width="11.88"/>
    <col customWidth="1" min="18" max="18" width="9.75"/>
    <col customWidth="1" min="19" max="19" width="10.88"/>
    <col customWidth="1" min="20" max="20" width="10.63"/>
    <col customWidth="1" min="21" max="21" width="10.88"/>
    <col customWidth="1" min="22" max="22" width="10.25"/>
    <col customWidth="1" min="23" max="23" width="10.88"/>
    <col customWidth="1" min="24" max="24" width="10.63"/>
    <col customWidth="1" min="25" max="25" width="10.88"/>
    <col customWidth="1" min="26" max="26" width="13.38"/>
    <col customWidth="1" min="27" max="27" width="10.0"/>
    <col customWidth="1" min="28" max="28" width="0.88"/>
    <col customWidth="1" min="29" max="49" width="14.38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ht="12.75" customHeight="1">
      <c r="A2" s="5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ht="12.75" customHeight="1">
      <c r="A3" s="5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51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8"/>
      <c r="AC4" s="9"/>
      <c r="AD4" s="9"/>
      <c r="AE4" s="9"/>
      <c r="AF4" s="9"/>
      <c r="AG4" s="9"/>
      <c r="AH4" s="9"/>
      <c r="AI4" s="9"/>
      <c r="AJ4" s="9"/>
      <c r="AK4" s="3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ht="24.75" customHeight="1">
      <c r="A5" s="10" t="s">
        <v>1</v>
      </c>
      <c r="B5" s="11" t="s">
        <v>2</v>
      </c>
      <c r="C5" s="11">
        <v>46023.0</v>
      </c>
      <c r="D5" s="11" t="s">
        <v>2</v>
      </c>
      <c r="E5" s="11">
        <v>46054.0</v>
      </c>
      <c r="F5" s="11" t="s">
        <v>2</v>
      </c>
      <c r="G5" s="11">
        <v>46082.0</v>
      </c>
      <c r="H5" s="11" t="s">
        <v>2</v>
      </c>
      <c r="I5" s="11">
        <v>45748.0</v>
      </c>
      <c r="J5" s="11" t="s">
        <v>2</v>
      </c>
      <c r="K5" s="11">
        <v>45778.0</v>
      </c>
      <c r="L5" s="11" t="s">
        <v>2</v>
      </c>
      <c r="M5" s="11">
        <v>45809.0</v>
      </c>
      <c r="N5" s="11" t="s">
        <v>2</v>
      </c>
      <c r="O5" s="11">
        <v>45839.0</v>
      </c>
      <c r="P5" s="11" t="s">
        <v>2</v>
      </c>
      <c r="Q5" s="11">
        <v>45870.0</v>
      </c>
      <c r="R5" s="11" t="s">
        <v>2</v>
      </c>
      <c r="S5" s="11">
        <v>45901.0</v>
      </c>
      <c r="T5" s="11" t="s">
        <v>2</v>
      </c>
      <c r="U5" s="11">
        <v>45931.0</v>
      </c>
      <c r="V5" s="11" t="s">
        <v>2</v>
      </c>
      <c r="W5" s="11">
        <v>45962.0</v>
      </c>
      <c r="X5" s="11" t="s">
        <v>2</v>
      </c>
      <c r="Y5" s="11">
        <v>45992.0</v>
      </c>
      <c r="Z5" s="12" t="s">
        <v>3</v>
      </c>
      <c r="AA5" s="13"/>
      <c r="AB5" s="13"/>
      <c r="AC5" s="14"/>
      <c r="AD5" s="14"/>
      <c r="AE5" s="15"/>
      <c r="AF5" s="14"/>
      <c r="AG5" s="14"/>
      <c r="AH5" s="14"/>
      <c r="AI5" s="14"/>
      <c r="AJ5" s="1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ht="12.0" customHeight="1">
      <c r="A6" s="16" t="s">
        <v>4</v>
      </c>
      <c r="B6" s="17"/>
      <c r="C6" s="18" t="s">
        <v>5</v>
      </c>
      <c r="D6" s="17"/>
      <c r="E6" s="18" t="s">
        <v>6</v>
      </c>
      <c r="F6" s="17"/>
      <c r="G6" s="18" t="s">
        <v>7</v>
      </c>
      <c r="H6" s="17"/>
      <c r="I6" s="18" t="s">
        <v>8</v>
      </c>
      <c r="J6" s="17"/>
      <c r="K6" s="19"/>
      <c r="L6" s="17"/>
      <c r="M6" s="19"/>
      <c r="N6" s="17"/>
      <c r="O6" s="19"/>
      <c r="P6" s="17"/>
      <c r="Q6" s="19"/>
      <c r="R6" s="17"/>
      <c r="S6" s="19"/>
      <c r="T6" s="17"/>
      <c r="U6" s="19"/>
      <c r="V6" s="17"/>
      <c r="W6" s="19"/>
      <c r="X6" s="17"/>
      <c r="Y6" s="19"/>
      <c r="Z6" s="20"/>
      <c r="AA6" s="21"/>
      <c r="AB6" s="21"/>
      <c r="AC6" s="14"/>
      <c r="AD6" s="14"/>
      <c r="AE6" s="22"/>
      <c r="AF6" s="14"/>
      <c r="AG6" s="13"/>
      <c r="AH6" s="23"/>
      <c r="AI6" s="14"/>
      <c r="AJ6" s="1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ht="12.0" customHeight="1">
      <c r="A7" s="24" t="s">
        <v>9</v>
      </c>
      <c r="B7" s="25">
        <f t="shared" ref="B7:B13" si="1">IFERROR(C7/C$20,0)</f>
        <v>0.6182381757</v>
      </c>
      <c r="C7" s="26">
        <f>1250+200+250-(1700*18.2%)-150</f>
        <v>1240.6</v>
      </c>
      <c r="D7" s="25">
        <f t="shared" ref="D7:D13" si="2">IFERROR(E7/E$20,0)</f>
        <v>0.4020393192</v>
      </c>
      <c r="E7" s="26">
        <f>1250+200+250-(1700*18.2%)-300</f>
        <v>1090.6</v>
      </c>
      <c r="F7" s="25">
        <f t="shared" ref="F7:F13" si="3">IFERROR(G7/G$20,0)</f>
        <v>0.3946773207</v>
      </c>
      <c r="G7" s="26">
        <f>1250+200+250-(1700*18.2%)-300</f>
        <v>1090.6</v>
      </c>
      <c r="H7" s="25">
        <f t="shared" ref="H7:H13" si="4">IFERROR(I7/I$20,0)</f>
        <v>0.417907245</v>
      </c>
      <c r="I7" s="26">
        <f>1250+200+250-(1700*18.2%)-300</f>
        <v>1090.6</v>
      </c>
      <c r="J7" s="25">
        <f t="shared" ref="J7:J13" si="5">IFERROR(K7/K$20,0)</f>
        <v>0</v>
      </c>
      <c r="K7" s="26"/>
      <c r="L7" s="25">
        <f t="shared" ref="L7:L9" si="6">IFERROR(M7/M$20,0)</f>
        <v>0</v>
      </c>
      <c r="M7" s="26"/>
      <c r="N7" s="25">
        <f t="shared" ref="N7:N9" si="7">IFERROR(O7/O$20,0)</f>
        <v>0</v>
      </c>
      <c r="O7" s="26"/>
      <c r="P7" s="25">
        <f t="shared" ref="P7:P9" si="8">IFERROR(Q7/Q$20,0)</f>
        <v>0</v>
      </c>
      <c r="Q7" s="26"/>
      <c r="R7" s="25">
        <f t="shared" ref="R7:R9" si="9">IFERROR(S7/S$20,0)</f>
        <v>0</v>
      </c>
      <c r="S7" s="26"/>
      <c r="T7" s="25">
        <f t="shared" ref="T7:T9" si="10">IFERROR(U7/U$20,0)</f>
        <v>0</v>
      </c>
      <c r="U7" s="26"/>
      <c r="V7" s="25">
        <f t="shared" ref="V7:V9" si="11">IFERROR(W7/W$20,0)</f>
        <v>0</v>
      </c>
      <c r="W7" s="26"/>
      <c r="X7" s="25">
        <f t="shared" ref="X7:X9" si="12">IFERROR(Y7/Y$20,0)</f>
        <v>0</v>
      </c>
      <c r="Y7" s="26"/>
      <c r="Z7" s="27">
        <f t="shared" ref="Z7:Z9" si="13">C7+E7+G7+I7+K7+M7+O7+Q7+S7+U7+W7+Y7</f>
        <v>4512.4</v>
      </c>
      <c r="AA7" s="21"/>
      <c r="AB7" s="14"/>
      <c r="AC7" s="14"/>
      <c r="AD7" s="14"/>
      <c r="AE7" s="15"/>
      <c r="AF7" s="14"/>
      <c r="AG7" s="13"/>
      <c r="AH7" s="23"/>
      <c r="AI7" s="14"/>
      <c r="AJ7" s="1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ht="12.0" customHeight="1">
      <c r="A8" s="24" t="s">
        <v>10</v>
      </c>
      <c r="B8" s="25">
        <f t="shared" si="1"/>
        <v>0.0946842281</v>
      </c>
      <c r="C8" s="28">
        <v>190.0</v>
      </c>
      <c r="D8" s="25">
        <f t="shared" si="2"/>
        <v>0.07004169324</v>
      </c>
      <c r="E8" s="28">
        <v>190.0</v>
      </c>
      <c r="F8" s="25">
        <f t="shared" si="3"/>
        <v>0.06875911511</v>
      </c>
      <c r="G8" s="28">
        <v>190.0</v>
      </c>
      <c r="H8" s="25">
        <f t="shared" si="4"/>
        <v>0.07280614024</v>
      </c>
      <c r="I8" s="28">
        <v>190.0</v>
      </c>
      <c r="J8" s="25">
        <f t="shared" si="5"/>
        <v>0</v>
      </c>
      <c r="K8" s="26"/>
      <c r="L8" s="25">
        <f t="shared" si="6"/>
        <v>0</v>
      </c>
      <c r="M8" s="26"/>
      <c r="N8" s="25">
        <f t="shared" si="7"/>
        <v>0</v>
      </c>
      <c r="O8" s="26"/>
      <c r="P8" s="25">
        <f t="shared" si="8"/>
        <v>0</v>
      </c>
      <c r="Q8" s="26"/>
      <c r="R8" s="25">
        <f t="shared" si="9"/>
        <v>0</v>
      </c>
      <c r="S8" s="26"/>
      <c r="T8" s="25">
        <f t="shared" si="10"/>
        <v>0</v>
      </c>
      <c r="U8" s="26"/>
      <c r="V8" s="25">
        <f t="shared" si="11"/>
        <v>0</v>
      </c>
      <c r="W8" s="26"/>
      <c r="X8" s="25">
        <f t="shared" si="12"/>
        <v>0</v>
      </c>
      <c r="Y8" s="26"/>
      <c r="Z8" s="27">
        <f t="shared" si="13"/>
        <v>760</v>
      </c>
      <c r="AA8" s="21"/>
      <c r="AB8" s="21"/>
      <c r="AC8" s="14"/>
      <c r="AD8" s="14"/>
      <c r="AE8" s="15"/>
      <c r="AF8" s="14"/>
      <c r="AG8" s="13"/>
      <c r="AH8" s="23"/>
      <c r="AI8" s="14"/>
      <c r="AJ8" s="1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ht="12.0" customHeight="1">
      <c r="A9" s="24" t="s">
        <v>11</v>
      </c>
      <c r="B9" s="25">
        <f t="shared" si="1"/>
        <v>0.191396692</v>
      </c>
      <c r="C9" s="26">
        <f>(384.07)</f>
        <v>384.07</v>
      </c>
      <c r="D9" s="25">
        <f t="shared" si="2"/>
        <v>0.1415837533</v>
      </c>
      <c r="E9" s="26">
        <f>(384.07)</f>
        <v>384.07</v>
      </c>
      <c r="F9" s="25">
        <f t="shared" si="3"/>
        <v>0.1389911228</v>
      </c>
      <c r="G9" s="26">
        <f>(384.07)</f>
        <v>384.07</v>
      </c>
      <c r="H9" s="25">
        <f t="shared" si="4"/>
        <v>0.1471718646</v>
      </c>
      <c r="I9" s="26">
        <f>(384.07)</f>
        <v>384.07</v>
      </c>
      <c r="J9" s="25">
        <f t="shared" si="5"/>
        <v>0</v>
      </c>
      <c r="K9" s="26"/>
      <c r="L9" s="25">
        <f t="shared" si="6"/>
        <v>0</v>
      </c>
      <c r="M9" s="26"/>
      <c r="N9" s="25">
        <f t="shared" si="7"/>
        <v>0</v>
      </c>
      <c r="O9" s="26"/>
      <c r="P9" s="25">
        <f t="shared" si="8"/>
        <v>0</v>
      </c>
      <c r="Q9" s="26"/>
      <c r="R9" s="25">
        <f t="shared" si="9"/>
        <v>0</v>
      </c>
      <c r="S9" s="26"/>
      <c r="T9" s="25">
        <f t="shared" si="10"/>
        <v>0</v>
      </c>
      <c r="U9" s="26"/>
      <c r="V9" s="25">
        <f t="shared" si="11"/>
        <v>0</v>
      </c>
      <c r="W9" s="26"/>
      <c r="X9" s="25">
        <f t="shared" si="12"/>
        <v>0</v>
      </c>
      <c r="Y9" s="26"/>
      <c r="Z9" s="27">
        <f t="shared" si="13"/>
        <v>1536.28</v>
      </c>
      <c r="AA9" s="21"/>
      <c r="AB9" s="21"/>
      <c r="AC9" s="14"/>
      <c r="AD9" s="14"/>
      <c r="AE9" s="15"/>
      <c r="AF9" s="14"/>
      <c r="AG9" s="14"/>
      <c r="AH9" s="14"/>
      <c r="AI9" s="14"/>
      <c r="AJ9" s="1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ht="12.0" customHeight="1">
      <c r="A10" s="29" t="s">
        <v>12</v>
      </c>
      <c r="B10" s="25">
        <f t="shared" si="1"/>
        <v>0.09568090418</v>
      </c>
      <c r="C10" s="26">
        <f>9.6*20</f>
        <v>192</v>
      </c>
      <c r="D10" s="25">
        <f t="shared" si="2"/>
        <v>0.07077897422</v>
      </c>
      <c r="E10" s="26">
        <f t="shared" ref="E10:E11" si="14">9.6*20</f>
        <v>192</v>
      </c>
      <c r="F10" s="25">
        <f t="shared" si="3"/>
        <v>0.06948289527</v>
      </c>
      <c r="G10" s="26">
        <f>9.6*20</f>
        <v>192</v>
      </c>
      <c r="H10" s="25">
        <f t="shared" si="4"/>
        <v>0.07357252066</v>
      </c>
      <c r="I10" s="26">
        <f>9.6*20</f>
        <v>192</v>
      </c>
      <c r="J10" s="25">
        <f t="shared" si="5"/>
        <v>0</v>
      </c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7"/>
      <c r="AA10" s="21"/>
      <c r="AB10" s="21"/>
      <c r="AC10" s="14"/>
      <c r="AD10" s="14"/>
      <c r="AE10" s="15"/>
      <c r="AF10" s="14"/>
      <c r="AG10" s="14"/>
      <c r="AH10" s="14"/>
      <c r="AI10" s="14"/>
      <c r="AJ10" s="1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12.0" customHeight="1">
      <c r="A11" s="29" t="s">
        <v>13</v>
      </c>
      <c r="B11" s="25">
        <f t="shared" si="1"/>
        <v>0</v>
      </c>
      <c r="C11" s="28" t="s">
        <v>14</v>
      </c>
      <c r="D11" s="25">
        <f t="shared" si="2"/>
        <v>0.07077897422</v>
      </c>
      <c r="E11" s="26">
        <f t="shared" si="14"/>
        <v>192</v>
      </c>
      <c r="F11" s="25">
        <f t="shared" si="3"/>
        <v>0.07382557622</v>
      </c>
      <c r="G11" s="26">
        <f>10.2*20</f>
        <v>204</v>
      </c>
      <c r="H11" s="25">
        <f t="shared" si="4"/>
        <v>0.07817080321</v>
      </c>
      <c r="I11" s="26">
        <f>G11</f>
        <v>204</v>
      </c>
      <c r="J11" s="25">
        <f t="shared" si="5"/>
        <v>0</v>
      </c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7"/>
      <c r="AA11" s="21"/>
      <c r="AB11" s="21"/>
      <c r="AC11" s="14"/>
      <c r="AD11" s="14"/>
      <c r="AE11" s="15"/>
      <c r="AF11" s="14"/>
      <c r="AG11" s="14"/>
      <c r="AH11" s="14"/>
      <c r="AI11" s="14"/>
      <c r="AJ11" s="1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ht="12.0" customHeight="1">
      <c r="A12" s="24" t="s">
        <v>15</v>
      </c>
      <c r="B12" s="25">
        <f t="shared" si="1"/>
        <v>0</v>
      </c>
      <c r="C12" s="26"/>
      <c r="D12" s="25">
        <f t="shared" si="2"/>
        <v>0.2447772858</v>
      </c>
      <c r="E12" s="26">
        <f>SUM(E32:E40)-E11</f>
        <v>664</v>
      </c>
      <c r="F12" s="25">
        <f t="shared" si="3"/>
        <v>0.2542639699</v>
      </c>
      <c r="G12" s="26">
        <f>G31*60%-G11</f>
        <v>702.6</v>
      </c>
      <c r="H12" s="25">
        <f t="shared" si="4"/>
        <v>0.2103714263</v>
      </c>
      <c r="I12" s="26">
        <f>(I31*50%)-I11</f>
        <v>549</v>
      </c>
      <c r="J12" s="25">
        <f t="shared" si="5"/>
        <v>0</v>
      </c>
      <c r="K12" s="26"/>
      <c r="L12" s="25">
        <f t="shared" ref="L12:L13" si="15">IFERROR(M12/M$20,0)</f>
        <v>0</v>
      </c>
      <c r="M12" s="26"/>
      <c r="N12" s="25">
        <f t="shared" ref="N12:N13" si="16">IFERROR(O12/O$20,0)</f>
        <v>0</v>
      </c>
      <c r="O12" s="26"/>
      <c r="P12" s="25">
        <f t="shared" ref="P12:P13" si="17">IFERROR(Q12/Q$20,0)</f>
        <v>0</v>
      </c>
      <c r="Q12" s="26"/>
      <c r="R12" s="25">
        <f t="shared" ref="R12:R13" si="18">IFERROR(S12/S$20,0)</f>
        <v>0</v>
      </c>
      <c r="S12" s="26"/>
      <c r="T12" s="25">
        <f t="shared" ref="T12:T13" si="19">IFERROR(U12/U$20,0)</f>
        <v>0</v>
      </c>
      <c r="U12" s="26"/>
      <c r="V12" s="25">
        <f t="shared" ref="V12:V13" si="20">IFERROR(W12/W$20,0)</f>
        <v>0</v>
      </c>
      <c r="W12" s="26"/>
      <c r="X12" s="25">
        <f t="shared" ref="X12:X13" si="21">IFERROR(Y12/Y$20,0)</f>
        <v>0</v>
      </c>
      <c r="Y12" s="26"/>
      <c r="Z12" s="27">
        <f t="shared" ref="Z12:Z13" si="22">C12+E12+G12+I12+K12+M12+O12+Q12+S12+U12+W12+Y12</f>
        <v>1915.6</v>
      </c>
      <c r="AA12" s="21"/>
      <c r="AB12" s="21"/>
      <c r="AC12" s="14"/>
      <c r="AD12" s="14"/>
      <c r="AE12" s="15"/>
      <c r="AF12" s="14"/>
      <c r="AG12" s="14"/>
      <c r="AH12" s="14"/>
      <c r="AI12" s="14"/>
      <c r="AJ12" s="1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ht="12.75" customHeight="1">
      <c r="A13" s="30" t="s">
        <v>16</v>
      </c>
      <c r="B13" s="31">
        <f t="shared" si="1"/>
        <v>1</v>
      </c>
      <c r="C13" s="32">
        <f>SUM(C7:C12)</f>
        <v>2006.67</v>
      </c>
      <c r="D13" s="31">
        <f t="shared" si="2"/>
        <v>1</v>
      </c>
      <c r="E13" s="32">
        <f>SUM(E7:E12)</f>
        <v>2712.67</v>
      </c>
      <c r="F13" s="31">
        <f t="shared" si="3"/>
        <v>1</v>
      </c>
      <c r="G13" s="32">
        <f>SUM(G7:G12)</f>
        <v>2763.27</v>
      </c>
      <c r="H13" s="31">
        <f t="shared" si="4"/>
        <v>1</v>
      </c>
      <c r="I13" s="32">
        <f>SUM(I7:I12)</f>
        <v>2609.67</v>
      </c>
      <c r="J13" s="31">
        <f t="shared" si="5"/>
        <v>0</v>
      </c>
      <c r="K13" s="32">
        <f>SUM(K7:K12)</f>
        <v>0</v>
      </c>
      <c r="L13" s="31">
        <f t="shared" si="15"/>
        <v>0</v>
      </c>
      <c r="M13" s="32">
        <f>SUM(M7:M12)</f>
        <v>0</v>
      </c>
      <c r="N13" s="31">
        <f t="shared" si="16"/>
        <v>0</v>
      </c>
      <c r="O13" s="32">
        <f>SUM(O7:O12)</f>
        <v>0</v>
      </c>
      <c r="P13" s="31">
        <f t="shared" si="17"/>
        <v>0</v>
      </c>
      <c r="Q13" s="32">
        <f>SUM(Q7:Q12)</f>
        <v>0</v>
      </c>
      <c r="R13" s="31">
        <f t="shared" si="18"/>
        <v>0</v>
      </c>
      <c r="S13" s="32">
        <f>SUM(S7:S12)</f>
        <v>0</v>
      </c>
      <c r="T13" s="31">
        <f t="shared" si="19"/>
        <v>0</v>
      </c>
      <c r="U13" s="32">
        <f>SUM(U7:U12)</f>
        <v>0</v>
      </c>
      <c r="V13" s="31">
        <f t="shared" si="20"/>
        <v>0</v>
      </c>
      <c r="W13" s="32">
        <f>SUM(W7:W12)</f>
        <v>0</v>
      </c>
      <c r="X13" s="31">
        <f t="shared" si="21"/>
        <v>0</v>
      </c>
      <c r="Y13" s="32">
        <f>SUM(Y7:Y12)</f>
        <v>0</v>
      </c>
      <c r="Z13" s="27">
        <f t="shared" si="22"/>
        <v>10092.28</v>
      </c>
      <c r="AA13" s="13"/>
      <c r="AB13" s="13"/>
      <c r="AC13" s="14"/>
      <c r="AD13" s="14"/>
      <c r="AE13" s="15"/>
      <c r="AF13" s="14"/>
      <c r="AG13" s="14"/>
      <c r="AH13" s="14"/>
      <c r="AI13" s="14"/>
      <c r="AJ13" s="1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>
      <c r="A14" s="16" t="s">
        <v>17</v>
      </c>
      <c r="B14" s="33"/>
      <c r="C14" s="19"/>
      <c r="D14" s="33"/>
      <c r="E14" s="19"/>
      <c r="F14" s="33"/>
      <c r="G14" s="19"/>
      <c r="H14" s="33"/>
      <c r="I14" s="19"/>
      <c r="J14" s="33"/>
      <c r="K14" s="19"/>
      <c r="L14" s="33"/>
      <c r="M14" s="19"/>
      <c r="N14" s="33"/>
      <c r="O14" s="19"/>
      <c r="P14" s="33"/>
      <c r="Q14" s="19"/>
      <c r="R14" s="33"/>
      <c r="S14" s="19"/>
      <c r="T14" s="33"/>
      <c r="U14" s="19"/>
      <c r="V14" s="33"/>
      <c r="W14" s="19"/>
      <c r="X14" s="33"/>
      <c r="Y14" s="19"/>
      <c r="Z14" s="20"/>
      <c r="AA14" s="21"/>
      <c r="AB14" s="21"/>
      <c r="AC14" s="14"/>
      <c r="AD14" s="14"/>
      <c r="AE14" s="15"/>
      <c r="AF14" s="14"/>
      <c r="AG14" s="14"/>
      <c r="AH14" s="14"/>
      <c r="AI14" s="14"/>
      <c r="AJ14" s="1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12.0" customHeight="1">
      <c r="A15" s="24" t="s">
        <v>18</v>
      </c>
      <c r="B15" s="25">
        <f t="shared" ref="B15:B18" si="23">IFERROR(C15/C$20,0)</f>
        <v>0</v>
      </c>
      <c r="C15" s="34"/>
      <c r="D15" s="25">
        <f t="shared" ref="D15:D18" si="24">IFERROR(E15/E$20,0)</f>
        <v>0</v>
      </c>
      <c r="E15" s="34"/>
      <c r="F15" s="25">
        <f t="shared" ref="F15:F18" si="25">IFERROR(G15/G$20,0)</f>
        <v>0</v>
      </c>
      <c r="G15" s="34"/>
      <c r="H15" s="25">
        <f t="shared" ref="H15:H18" si="26">IFERROR(I15/I$20,0)</f>
        <v>0</v>
      </c>
      <c r="I15" s="34"/>
      <c r="J15" s="25">
        <f t="shared" ref="J15:J18" si="27">IFERROR(K15/K$20,0)</f>
        <v>0</v>
      </c>
      <c r="K15" s="34"/>
      <c r="L15" s="25">
        <f t="shared" ref="L15:L18" si="28">IFERROR(M15/M$20,0)</f>
        <v>0</v>
      </c>
      <c r="M15" s="34"/>
      <c r="N15" s="25">
        <f t="shared" ref="N15:N18" si="29">IFERROR(O15/O$20,0)</f>
        <v>0</v>
      </c>
      <c r="O15" s="34"/>
      <c r="P15" s="25">
        <f t="shared" ref="P15:P18" si="30">IFERROR(Q15/Q$20,0)</f>
        <v>0</v>
      </c>
      <c r="Q15" s="34"/>
      <c r="R15" s="25">
        <f t="shared" ref="R15:R18" si="31">IFERROR(S15/S$20,0)</f>
        <v>0</v>
      </c>
      <c r="S15" s="34"/>
      <c r="T15" s="25">
        <f t="shared" ref="T15:T18" si="32">IFERROR(U15/U$20,0)</f>
        <v>0</v>
      </c>
      <c r="U15" s="34"/>
      <c r="V15" s="25">
        <f t="shared" ref="V15:V18" si="33">IFERROR(W15/W$20,0)</f>
        <v>0</v>
      </c>
      <c r="W15" s="34"/>
      <c r="X15" s="25">
        <f t="shared" ref="X15:X18" si="34">IFERROR(Y15/Y$20,0)</f>
        <v>0</v>
      </c>
      <c r="Y15" s="34"/>
      <c r="Z15" s="27">
        <f t="shared" ref="Z15:Z17" si="35">C15+E15+G15+I15+K15+M15+O15+Q15+S15+U15+W15+Y15</f>
        <v>0</v>
      </c>
      <c r="AA15" s="21"/>
      <c r="AB15" s="21"/>
      <c r="AC15" s="14"/>
      <c r="AD15" s="14"/>
      <c r="AE15" s="14"/>
      <c r="AF15" s="14"/>
      <c r="AG15" s="14"/>
      <c r="AH15" s="14"/>
      <c r="AI15" s="14"/>
      <c r="AJ15" s="1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ht="12.0" customHeight="1">
      <c r="A16" s="24" t="s">
        <v>19</v>
      </c>
      <c r="B16" s="25">
        <f t="shared" si="23"/>
        <v>0</v>
      </c>
      <c r="C16" s="26"/>
      <c r="D16" s="25">
        <f t="shared" si="24"/>
        <v>0</v>
      </c>
      <c r="E16" s="26"/>
      <c r="F16" s="25">
        <f t="shared" si="25"/>
        <v>0</v>
      </c>
      <c r="G16" s="26"/>
      <c r="H16" s="25">
        <f t="shared" si="26"/>
        <v>0</v>
      </c>
      <c r="I16" s="26"/>
      <c r="J16" s="25">
        <f t="shared" si="27"/>
        <v>0</v>
      </c>
      <c r="K16" s="26"/>
      <c r="L16" s="25">
        <f t="shared" si="28"/>
        <v>0</v>
      </c>
      <c r="M16" s="26"/>
      <c r="N16" s="25">
        <f t="shared" si="29"/>
        <v>0</v>
      </c>
      <c r="O16" s="26"/>
      <c r="P16" s="25">
        <f t="shared" si="30"/>
        <v>1</v>
      </c>
      <c r="Q16" s="28">
        <v>1000.0</v>
      </c>
      <c r="R16" s="25">
        <f t="shared" si="31"/>
        <v>0</v>
      </c>
      <c r="S16" s="26"/>
      <c r="T16" s="25">
        <f t="shared" si="32"/>
        <v>0</v>
      </c>
      <c r="U16" s="26"/>
      <c r="V16" s="25">
        <f t="shared" si="33"/>
        <v>1</v>
      </c>
      <c r="W16" s="26">
        <v>1000.0</v>
      </c>
      <c r="X16" s="25">
        <f t="shared" si="34"/>
        <v>0</v>
      </c>
      <c r="Y16" s="26"/>
      <c r="Z16" s="27">
        <f t="shared" si="35"/>
        <v>2000</v>
      </c>
      <c r="AA16" s="21"/>
      <c r="AB16" s="21"/>
      <c r="AC16" s="14"/>
      <c r="AD16" s="35"/>
      <c r="AE16" s="14"/>
      <c r="AF16" s="14"/>
      <c r="AG16" s="14"/>
      <c r="AH16" s="14"/>
      <c r="AI16" s="14"/>
      <c r="AJ16" s="1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ht="12.0" customHeight="1">
      <c r="A17" s="29" t="s">
        <v>20</v>
      </c>
      <c r="B17" s="25">
        <f t="shared" si="23"/>
        <v>0</v>
      </c>
      <c r="C17" s="26"/>
      <c r="D17" s="25">
        <f t="shared" si="24"/>
        <v>0</v>
      </c>
      <c r="E17" s="26"/>
      <c r="F17" s="25">
        <f t="shared" si="25"/>
        <v>0</v>
      </c>
      <c r="G17" s="26"/>
      <c r="H17" s="25">
        <f t="shared" si="26"/>
        <v>0</v>
      </c>
      <c r="I17" s="26"/>
      <c r="J17" s="25">
        <f t="shared" si="27"/>
        <v>0</v>
      </c>
      <c r="K17" s="26"/>
      <c r="L17" s="25">
        <f t="shared" si="28"/>
        <v>0</v>
      </c>
      <c r="M17" s="26"/>
      <c r="N17" s="25">
        <f t="shared" si="29"/>
        <v>0</v>
      </c>
      <c r="O17" s="26"/>
      <c r="P17" s="25">
        <f t="shared" si="30"/>
        <v>0</v>
      </c>
      <c r="Q17" s="26"/>
      <c r="R17" s="25">
        <f t="shared" si="31"/>
        <v>0</v>
      </c>
      <c r="S17" s="26"/>
      <c r="T17" s="25">
        <f t="shared" si="32"/>
        <v>0</v>
      </c>
      <c r="U17" s="26"/>
      <c r="V17" s="25">
        <f t="shared" si="33"/>
        <v>0</v>
      </c>
      <c r="W17" s="26"/>
      <c r="X17" s="25">
        <f t="shared" si="34"/>
        <v>0</v>
      </c>
      <c r="Y17" s="26"/>
      <c r="Z17" s="27">
        <f t="shared" si="35"/>
        <v>0</v>
      </c>
      <c r="AA17" s="21"/>
      <c r="AB17" s="21"/>
      <c r="AC17" s="14"/>
      <c r="AD17" s="36"/>
      <c r="AE17" s="14"/>
      <c r="AF17" s="14"/>
      <c r="AG17" s="14"/>
      <c r="AH17" s="14"/>
      <c r="AI17" s="14"/>
      <c r="AJ17" s="1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ht="12.75" customHeight="1">
      <c r="A18" s="37" t="s">
        <v>21</v>
      </c>
      <c r="B18" s="31">
        <f t="shared" si="23"/>
        <v>0</v>
      </c>
      <c r="C18" s="38">
        <f>SUM(C15:C17)</f>
        <v>0</v>
      </c>
      <c r="D18" s="31">
        <f t="shared" si="24"/>
        <v>0</v>
      </c>
      <c r="E18" s="38">
        <f>SUM(E15:E17)</f>
        <v>0</v>
      </c>
      <c r="F18" s="31">
        <f t="shared" si="25"/>
        <v>0</v>
      </c>
      <c r="G18" s="38">
        <f>SUM(G15:G17)</f>
        <v>0</v>
      </c>
      <c r="H18" s="31">
        <f t="shared" si="26"/>
        <v>0</v>
      </c>
      <c r="I18" s="38">
        <f>SUM(I15:I17)</f>
        <v>0</v>
      </c>
      <c r="J18" s="31">
        <f t="shared" si="27"/>
        <v>0</v>
      </c>
      <c r="K18" s="38">
        <f>SUM(K15:K17)</f>
        <v>0</v>
      </c>
      <c r="L18" s="31">
        <f t="shared" si="28"/>
        <v>0</v>
      </c>
      <c r="M18" s="38">
        <f>SUM(M15:M17)</f>
        <v>0</v>
      </c>
      <c r="N18" s="31">
        <f t="shared" si="29"/>
        <v>0</v>
      </c>
      <c r="O18" s="38">
        <f>SUM(O15:O17)</f>
        <v>0</v>
      </c>
      <c r="P18" s="31">
        <f t="shared" si="30"/>
        <v>1</v>
      </c>
      <c r="Q18" s="38">
        <f>SUM(Q15:Q17)</f>
        <v>1000</v>
      </c>
      <c r="R18" s="31">
        <f t="shared" si="31"/>
        <v>0</v>
      </c>
      <c r="S18" s="38">
        <f>SUM(S15:S17)</f>
        <v>0</v>
      </c>
      <c r="T18" s="31">
        <f t="shared" si="32"/>
        <v>0</v>
      </c>
      <c r="U18" s="38">
        <f>SUM(U15:U17)</f>
        <v>0</v>
      </c>
      <c r="V18" s="31">
        <f t="shared" si="33"/>
        <v>1</v>
      </c>
      <c r="W18" s="38">
        <f>SUM(W15:W17)</f>
        <v>1000</v>
      </c>
      <c r="X18" s="31">
        <f t="shared" si="34"/>
        <v>0</v>
      </c>
      <c r="Y18" s="38">
        <f t="shared" ref="Y18:Z18" si="36">SUM(Y15:Y17)</f>
        <v>0</v>
      </c>
      <c r="Z18" s="39">
        <f t="shared" si="36"/>
        <v>2000</v>
      </c>
      <c r="AA18" s="13"/>
      <c r="AB18" s="13"/>
      <c r="AC18" s="14"/>
      <c r="AD18" s="36"/>
      <c r="AE18" s="14"/>
      <c r="AF18" s="14"/>
      <c r="AG18" s="14"/>
      <c r="AH18" s="14"/>
      <c r="AI18" s="14"/>
      <c r="AJ18" s="1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ht="12.0" customHeight="1">
      <c r="A19" s="40"/>
      <c r="B19" s="41"/>
      <c r="C19" s="42"/>
      <c r="D19" s="41"/>
      <c r="E19" s="42"/>
      <c r="F19" s="41"/>
      <c r="G19" s="42"/>
      <c r="H19" s="41"/>
      <c r="I19" s="42"/>
      <c r="J19" s="41"/>
      <c r="K19" s="42"/>
      <c r="L19" s="41"/>
      <c r="M19" s="42"/>
      <c r="N19" s="41"/>
      <c r="O19" s="42"/>
      <c r="P19" s="41"/>
      <c r="Q19" s="42"/>
      <c r="R19" s="41"/>
      <c r="S19" s="42"/>
      <c r="T19" s="41"/>
      <c r="U19" s="42"/>
      <c r="V19" s="41"/>
      <c r="W19" s="42"/>
      <c r="X19" s="41"/>
      <c r="Y19" s="42"/>
      <c r="Z19" s="43"/>
      <c r="AA19" s="13"/>
      <c r="AB19" s="13"/>
      <c r="AC19" s="14"/>
      <c r="AD19" s="36"/>
      <c r="AE19" s="14"/>
      <c r="AF19" s="14"/>
      <c r="AG19" s="14"/>
      <c r="AH19" s="14"/>
      <c r="AI19" s="14"/>
      <c r="AJ19" s="1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ht="12.75" customHeight="1">
      <c r="A20" s="16" t="s">
        <v>22</v>
      </c>
      <c r="B20" s="44">
        <v>1.0</v>
      </c>
      <c r="C20" s="45">
        <f>C18+C13</f>
        <v>2006.67</v>
      </c>
      <c r="D20" s="44">
        <v>1.0</v>
      </c>
      <c r="E20" s="45">
        <f>E18+E13</f>
        <v>2712.67</v>
      </c>
      <c r="F20" s="44">
        <v>1.0</v>
      </c>
      <c r="G20" s="45">
        <f>G18+G13</f>
        <v>2763.27</v>
      </c>
      <c r="H20" s="44">
        <v>1.0</v>
      </c>
      <c r="I20" s="45">
        <f>I18+I13</f>
        <v>2609.67</v>
      </c>
      <c r="J20" s="44">
        <v>1.0</v>
      </c>
      <c r="K20" s="45">
        <f>K18+K13</f>
        <v>0</v>
      </c>
      <c r="L20" s="44">
        <v>1.0</v>
      </c>
      <c r="M20" s="45">
        <f>M18+M13</f>
        <v>0</v>
      </c>
      <c r="N20" s="44">
        <v>1.0</v>
      </c>
      <c r="O20" s="45">
        <f>O18+O13</f>
        <v>0</v>
      </c>
      <c r="P20" s="44">
        <v>1.0</v>
      </c>
      <c r="Q20" s="45">
        <f>Q18+Q13</f>
        <v>1000</v>
      </c>
      <c r="R20" s="44">
        <v>1.0</v>
      </c>
      <c r="S20" s="45">
        <f>S18+S13</f>
        <v>0</v>
      </c>
      <c r="T20" s="44">
        <v>1.0</v>
      </c>
      <c r="U20" s="45">
        <f>U18+U13</f>
        <v>0</v>
      </c>
      <c r="V20" s="44">
        <v>1.0</v>
      </c>
      <c r="W20" s="45">
        <f>W18+W13</f>
        <v>1000</v>
      </c>
      <c r="X20" s="44">
        <v>1.0</v>
      </c>
      <c r="Y20" s="45">
        <f t="shared" ref="Y20:Z20" si="37">Y18+Y13</f>
        <v>0</v>
      </c>
      <c r="Z20" s="39">
        <f t="shared" si="37"/>
        <v>12092.28</v>
      </c>
      <c r="AA20" s="13"/>
      <c r="AB20" s="13"/>
      <c r="AC20" s="14"/>
      <c r="AD20" s="14"/>
      <c r="AE20" s="14"/>
      <c r="AF20" s="14"/>
      <c r="AG20" s="14"/>
      <c r="AH20" s="14"/>
      <c r="AI20" s="14"/>
      <c r="AJ20" s="1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ht="12.75" customHeight="1">
      <c r="A21" s="46"/>
      <c r="B21" s="47"/>
      <c r="C21" s="48"/>
      <c r="D21" s="47"/>
      <c r="E21" s="48"/>
      <c r="F21" s="47"/>
      <c r="G21" s="48"/>
      <c r="H21" s="47"/>
      <c r="I21" s="48"/>
      <c r="J21" s="47"/>
      <c r="K21" s="48"/>
      <c r="L21" s="47"/>
      <c r="M21" s="48"/>
      <c r="N21" s="47"/>
      <c r="O21" s="48"/>
      <c r="P21" s="47"/>
      <c r="Q21" s="48"/>
      <c r="R21" s="47"/>
      <c r="S21" s="48"/>
      <c r="T21" s="47"/>
      <c r="U21" s="48"/>
      <c r="V21" s="47"/>
      <c r="W21" s="48"/>
      <c r="X21" s="47"/>
      <c r="Y21" s="48"/>
      <c r="Z21" s="49"/>
      <c r="AA21" s="50"/>
      <c r="AB21" s="50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ht="12.0" customHeight="1">
      <c r="A22" s="51" t="s">
        <v>23</v>
      </c>
      <c r="B22" s="52">
        <f t="shared" ref="B22:B29" si="38">IFERROR(C22/C$20,0)</f>
        <v>0</v>
      </c>
      <c r="C22" s="53">
        <f>SUM(C23:C28)</f>
        <v>0</v>
      </c>
      <c r="D22" s="52">
        <f t="shared" ref="D22:D29" si="39">IFERROR(E22/E$20,0)</f>
        <v>0.09216012268</v>
      </c>
      <c r="E22" s="53">
        <f>SUM(E23:E28)</f>
        <v>250</v>
      </c>
      <c r="F22" s="52">
        <f t="shared" ref="F22:F24" si="40">IFERROR(G22/G$20,0)</f>
        <v>0.09047251988</v>
      </c>
      <c r="G22" s="53">
        <f>SUM(G23:G28)</f>
        <v>250</v>
      </c>
      <c r="H22" s="52">
        <f t="shared" ref="H22:H24" si="41">IFERROR(I22/I$20,0)</f>
        <v>0.09579755295</v>
      </c>
      <c r="I22" s="53">
        <f>SUM(I23:I28)</f>
        <v>250</v>
      </c>
      <c r="J22" s="52">
        <f t="shared" ref="J22:J29" si="42">IFERROR(K22/K$20,0)</f>
        <v>0</v>
      </c>
      <c r="K22" s="53">
        <f>SUM(K23:K28)</f>
        <v>250</v>
      </c>
      <c r="L22" s="52">
        <f t="shared" ref="L22:L29" si="43">IFERROR(M22/M$20,0)</f>
        <v>0</v>
      </c>
      <c r="M22" s="53">
        <f>SUM(M23:M28)</f>
        <v>250</v>
      </c>
      <c r="N22" s="52">
        <f t="shared" ref="N22:N29" si="44">IFERROR(O22/O$20,0)</f>
        <v>0</v>
      </c>
      <c r="O22" s="53">
        <f>SUM(O23:O28)</f>
        <v>250</v>
      </c>
      <c r="P22" s="52">
        <f t="shared" ref="P22:P29" si="45">IFERROR(Q22/Q$20,0)</f>
        <v>1.25</v>
      </c>
      <c r="Q22" s="53">
        <f>SUM(Q23:Q28)</f>
        <v>1250</v>
      </c>
      <c r="R22" s="52">
        <f t="shared" ref="R22:R29" si="46">IFERROR(S22/S$20,0)</f>
        <v>0</v>
      </c>
      <c r="S22" s="53">
        <f>SUM(S23:S28)</f>
        <v>250</v>
      </c>
      <c r="T22" s="52">
        <f t="shared" ref="T22:T29" si="47">IFERROR(U22/U$20,0)</f>
        <v>0</v>
      </c>
      <c r="U22" s="53">
        <f>SUM(U23:U28)</f>
        <v>250</v>
      </c>
      <c r="V22" s="52">
        <f t="shared" ref="V22:V29" si="48">IFERROR(W22/W$20,0)</f>
        <v>1.25</v>
      </c>
      <c r="W22" s="53">
        <f>SUM(W23:W28)</f>
        <v>1250</v>
      </c>
      <c r="X22" s="52">
        <f t="shared" ref="X22:X29" si="49">IFERROR(Y22/Y$20,0)</f>
        <v>0</v>
      </c>
      <c r="Y22" s="53">
        <f>SUM(Y23:Y28)</f>
        <v>250</v>
      </c>
      <c r="Z22" s="54">
        <f t="shared" ref="Z22:Z28" si="50">C22+E22+G22+I22+K22+M22+O22+Q22+S22+U22+W22+Y22</f>
        <v>4750</v>
      </c>
      <c r="AA22" s="50"/>
      <c r="AB22" s="50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ht="12.75" customHeight="1">
      <c r="A23" s="24" t="s">
        <v>24</v>
      </c>
      <c r="B23" s="25">
        <f t="shared" si="38"/>
        <v>0</v>
      </c>
      <c r="C23" s="26"/>
      <c r="D23" s="25">
        <f t="shared" si="39"/>
        <v>0</v>
      </c>
      <c r="E23" s="26"/>
      <c r="F23" s="25">
        <f t="shared" si="40"/>
        <v>0</v>
      </c>
      <c r="G23" s="26"/>
      <c r="H23" s="25">
        <f t="shared" si="41"/>
        <v>0</v>
      </c>
      <c r="I23" s="26"/>
      <c r="J23" s="25">
        <f t="shared" si="42"/>
        <v>0</v>
      </c>
      <c r="K23" s="26"/>
      <c r="L23" s="25">
        <f t="shared" si="43"/>
        <v>0</v>
      </c>
      <c r="M23" s="26"/>
      <c r="N23" s="25">
        <f t="shared" si="44"/>
        <v>0</v>
      </c>
      <c r="O23" s="26"/>
      <c r="P23" s="25">
        <f t="shared" si="45"/>
        <v>0</v>
      </c>
      <c r="Q23" s="26"/>
      <c r="R23" s="25">
        <f t="shared" si="46"/>
        <v>0</v>
      </c>
      <c r="S23" s="26"/>
      <c r="T23" s="25">
        <f t="shared" si="47"/>
        <v>0</v>
      </c>
      <c r="U23" s="26"/>
      <c r="V23" s="25">
        <f t="shared" si="48"/>
        <v>0</v>
      </c>
      <c r="W23" s="26" t="str">
        <f t="shared" ref="W23:W24" si="51">U23</f>
        <v/>
      </c>
      <c r="X23" s="25">
        <f t="shared" si="49"/>
        <v>0</v>
      </c>
      <c r="Y23" s="26"/>
      <c r="Z23" s="54">
        <f t="shared" si="50"/>
        <v>0</v>
      </c>
      <c r="AA23" s="55"/>
      <c r="AB23" s="56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ht="12.75" customHeight="1">
      <c r="A24" s="24" t="s">
        <v>25</v>
      </c>
      <c r="B24" s="25">
        <f t="shared" si="38"/>
        <v>0</v>
      </c>
      <c r="C24" s="26"/>
      <c r="D24" s="25">
        <f t="shared" si="39"/>
        <v>0</v>
      </c>
      <c r="E24" s="26"/>
      <c r="F24" s="25">
        <f t="shared" si="40"/>
        <v>0</v>
      </c>
      <c r="G24" s="26"/>
      <c r="H24" s="25">
        <f t="shared" si="41"/>
        <v>0</v>
      </c>
      <c r="I24" s="26"/>
      <c r="J24" s="25">
        <f t="shared" si="42"/>
        <v>0</v>
      </c>
      <c r="K24" s="26"/>
      <c r="L24" s="25">
        <f t="shared" si="43"/>
        <v>0</v>
      </c>
      <c r="M24" s="26"/>
      <c r="N24" s="25">
        <f t="shared" si="44"/>
        <v>0</v>
      </c>
      <c r="O24" s="26"/>
      <c r="P24" s="25">
        <f t="shared" si="45"/>
        <v>0</v>
      </c>
      <c r="Q24" s="26"/>
      <c r="R24" s="25">
        <f t="shared" si="46"/>
        <v>0</v>
      </c>
      <c r="S24" s="26"/>
      <c r="T24" s="25">
        <f t="shared" si="47"/>
        <v>0</v>
      </c>
      <c r="U24" s="26"/>
      <c r="V24" s="25">
        <f t="shared" si="48"/>
        <v>0</v>
      </c>
      <c r="W24" s="57" t="str">
        <f t="shared" si="51"/>
        <v/>
      </c>
      <c r="X24" s="25">
        <f t="shared" si="49"/>
        <v>0</v>
      </c>
      <c r="Y24" s="26"/>
      <c r="Z24" s="54">
        <f t="shared" si="50"/>
        <v>0</v>
      </c>
      <c r="AA24" s="58"/>
      <c r="AB24" s="56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ht="12.75" customHeight="1">
      <c r="A25" s="24" t="s">
        <v>26</v>
      </c>
      <c r="B25" s="25">
        <f t="shared" si="38"/>
        <v>0</v>
      </c>
      <c r="C25" s="59"/>
      <c r="D25" s="25">
        <f t="shared" si="39"/>
        <v>0.09216012268</v>
      </c>
      <c r="E25" s="60">
        <v>250.0</v>
      </c>
      <c r="F25" s="25">
        <f t="shared" ref="F25:F26" si="52">IFERROR(I25/G$20,0)</f>
        <v>0.09047251988</v>
      </c>
      <c r="G25" s="59">
        <v>250.0</v>
      </c>
      <c r="H25" s="25">
        <f t="shared" ref="H25:H26" si="53">IFERROR(#REF!/I$20,0)</f>
        <v>0</v>
      </c>
      <c r="I25" s="59">
        <v>250.0</v>
      </c>
      <c r="J25" s="25">
        <f t="shared" si="42"/>
        <v>0</v>
      </c>
      <c r="K25" s="59">
        <v>250.0</v>
      </c>
      <c r="L25" s="25">
        <f t="shared" si="43"/>
        <v>0</v>
      </c>
      <c r="M25" s="59">
        <v>250.0</v>
      </c>
      <c r="N25" s="25">
        <f t="shared" si="44"/>
        <v>0</v>
      </c>
      <c r="O25" s="59">
        <v>250.0</v>
      </c>
      <c r="P25" s="25">
        <f t="shared" si="45"/>
        <v>1.25</v>
      </c>
      <c r="Q25" s="59">
        <v>1250.0</v>
      </c>
      <c r="R25" s="25">
        <f t="shared" si="46"/>
        <v>0</v>
      </c>
      <c r="S25" s="59">
        <v>250.0</v>
      </c>
      <c r="T25" s="25">
        <f t="shared" si="47"/>
        <v>0</v>
      </c>
      <c r="U25" s="59">
        <v>250.0</v>
      </c>
      <c r="V25" s="25">
        <f t="shared" si="48"/>
        <v>1.25</v>
      </c>
      <c r="W25" s="59">
        <v>1250.0</v>
      </c>
      <c r="X25" s="25">
        <f t="shared" si="49"/>
        <v>0</v>
      </c>
      <c r="Y25" s="59">
        <v>250.0</v>
      </c>
      <c r="Z25" s="54">
        <f t="shared" si="50"/>
        <v>4750</v>
      </c>
      <c r="AA25" s="58"/>
      <c r="AB25" s="56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ht="12.75" hidden="1" customHeight="1">
      <c r="A26" s="24" t="s">
        <v>27</v>
      </c>
      <c r="B26" s="25">
        <f t="shared" si="38"/>
        <v>0</v>
      </c>
      <c r="C26" s="57"/>
      <c r="D26" s="25">
        <f t="shared" si="39"/>
        <v>0</v>
      </c>
      <c r="E26" s="57"/>
      <c r="F26" s="25">
        <f t="shared" si="52"/>
        <v>0</v>
      </c>
      <c r="G26" s="57"/>
      <c r="H26" s="25">
        <f t="shared" si="53"/>
        <v>0</v>
      </c>
      <c r="I26" s="57"/>
      <c r="J26" s="25">
        <f t="shared" si="42"/>
        <v>0</v>
      </c>
      <c r="K26" s="57"/>
      <c r="L26" s="25">
        <f t="shared" si="43"/>
        <v>0</v>
      </c>
      <c r="M26" s="57"/>
      <c r="N26" s="25">
        <f t="shared" si="44"/>
        <v>0</v>
      </c>
      <c r="O26" s="57"/>
      <c r="P26" s="25">
        <f t="shared" si="45"/>
        <v>0</v>
      </c>
      <c r="Q26" s="57"/>
      <c r="R26" s="25">
        <f t="shared" si="46"/>
        <v>0</v>
      </c>
      <c r="S26" s="57"/>
      <c r="T26" s="25">
        <f t="shared" si="47"/>
        <v>0</v>
      </c>
      <c r="U26" s="57"/>
      <c r="V26" s="25">
        <f t="shared" si="48"/>
        <v>0</v>
      </c>
      <c r="W26" s="57"/>
      <c r="X26" s="25">
        <f t="shared" si="49"/>
        <v>0</v>
      </c>
      <c r="Y26" s="57"/>
      <c r="Z26" s="54">
        <f t="shared" si="50"/>
        <v>0</v>
      </c>
      <c r="AA26" s="58"/>
      <c r="AB26" s="56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ht="12.75" hidden="1" customHeight="1">
      <c r="A27" s="24" t="s">
        <v>28</v>
      </c>
      <c r="B27" s="25">
        <f t="shared" si="38"/>
        <v>0</v>
      </c>
      <c r="C27" s="57"/>
      <c r="D27" s="25">
        <f t="shared" si="39"/>
        <v>0</v>
      </c>
      <c r="E27" s="57"/>
      <c r="F27" s="25">
        <f t="shared" ref="F27:F29" si="54">IFERROR(G27/G$20,0)</f>
        <v>0</v>
      </c>
      <c r="G27" s="57"/>
      <c r="H27" s="25">
        <f t="shared" ref="H27:H29" si="55">IFERROR(I27/I$20,0)</f>
        <v>0</v>
      </c>
      <c r="I27" s="57"/>
      <c r="J27" s="25">
        <f t="shared" si="42"/>
        <v>0</v>
      </c>
      <c r="K27" s="57"/>
      <c r="L27" s="25">
        <f t="shared" si="43"/>
        <v>0</v>
      </c>
      <c r="M27" s="57"/>
      <c r="N27" s="25">
        <f t="shared" si="44"/>
        <v>0</v>
      </c>
      <c r="O27" s="57"/>
      <c r="P27" s="25">
        <f t="shared" si="45"/>
        <v>0</v>
      </c>
      <c r="Q27" s="57"/>
      <c r="R27" s="25">
        <f t="shared" si="46"/>
        <v>0</v>
      </c>
      <c r="S27" s="57"/>
      <c r="T27" s="25">
        <f t="shared" si="47"/>
        <v>0</v>
      </c>
      <c r="U27" s="57"/>
      <c r="V27" s="25">
        <f t="shared" si="48"/>
        <v>0</v>
      </c>
      <c r="W27" s="57"/>
      <c r="X27" s="25">
        <f t="shared" si="49"/>
        <v>0</v>
      </c>
      <c r="Y27" s="57"/>
      <c r="Z27" s="54">
        <f t="shared" si="50"/>
        <v>0</v>
      </c>
      <c r="AA27" s="58"/>
      <c r="AB27" s="56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ht="13.5" hidden="1" customHeight="1">
      <c r="A28" s="24" t="s">
        <v>29</v>
      </c>
      <c r="B28" s="25">
        <f t="shared" si="38"/>
        <v>0</v>
      </c>
      <c r="C28" s="57"/>
      <c r="D28" s="25">
        <f t="shared" si="39"/>
        <v>0</v>
      </c>
      <c r="E28" s="57"/>
      <c r="F28" s="25">
        <f t="shared" si="54"/>
        <v>0</v>
      </c>
      <c r="G28" s="57"/>
      <c r="H28" s="25">
        <f t="shared" si="55"/>
        <v>0</v>
      </c>
      <c r="I28" s="57"/>
      <c r="J28" s="25">
        <f t="shared" si="42"/>
        <v>0</v>
      </c>
      <c r="K28" s="57"/>
      <c r="L28" s="25">
        <f t="shared" si="43"/>
        <v>0</v>
      </c>
      <c r="M28" s="57"/>
      <c r="N28" s="25">
        <f t="shared" si="44"/>
        <v>0</v>
      </c>
      <c r="O28" s="57"/>
      <c r="P28" s="25">
        <f t="shared" si="45"/>
        <v>0</v>
      </c>
      <c r="Q28" s="57"/>
      <c r="R28" s="25">
        <f t="shared" si="46"/>
        <v>0</v>
      </c>
      <c r="S28" s="57"/>
      <c r="T28" s="25">
        <f t="shared" si="47"/>
        <v>0</v>
      </c>
      <c r="U28" s="57"/>
      <c r="V28" s="25">
        <f t="shared" si="48"/>
        <v>0</v>
      </c>
      <c r="W28" s="57"/>
      <c r="X28" s="25">
        <f t="shared" si="49"/>
        <v>0</v>
      </c>
      <c r="Y28" s="57"/>
      <c r="Z28" s="54">
        <f t="shared" si="50"/>
        <v>0</v>
      </c>
      <c r="AA28" s="58"/>
      <c r="AB28" s="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ht="13.5" customHeight="1">
      <c r="A29" s="37" t="s">
        <v>30</v>
      </c>
      <c r="B29" s="31">
        <f t="shared" si="38"/>
        <v>0</v>
      </c>
      <c r="C29" s="61">
        <f>C22</f>
        <v>0</v>
      </c>
      <c r="D29" s="31">
        <f t="shared" si="39"/>
        <v>0.09216012268</v>
      </c>
      <c r="E29" s="61">
        <f>E22</f>
        <v>250</v>
      </c>
      <c r="F29" s="31">
        <f t="shared" si="54"/>
        <v>0.09047251988</v>
      </c>
      <c r="G29" s="61">
        <f>G22</f>
        <v>250</v>
      </c>
      <c r="H29" s="31">
        <f t="shared" si="55"/>
        <v>0.09579755295</v>
      </c>
      <c r="I29" s="61">
        <f>I22</f>
        <v>250</v>
      </c>
      <c r="J29" s="31">
        <f t="shared" si="42"/>
        <v>0</v>
      </c>
      <c r="K29" s="61">
        <f>K22</f>
        <v>250</v>
      </c>
      <c r="L29" s="31">
        <f t="shared" si="43"/>
        <v>0</v>
      </c>
      <c r="M29" s="61">
        <f>M22</f>
        <v>250</v>
      </c>
      <c r="N29" s="31">
        <f t="shared" si="44"/>
        <v>0</v>
      </c>
      <c r="O29" s="61">
        <f>O22</f>
        <v>250</v>
      </c>
      <c r="P29" s="31">
        <f t="shared" si="45"/>
        <v>1.25</v>
      </c>
      <c r="Q29" s="61">
        <f>Q22</f>
        <v>1250</v>
      </c>
      <c r="R29" s="31">
        <f t="shared" si="46"/>
        <v>0</v>
      </c>
      <c r="S29" s="61">
        <f>S22</f>
        <v>250</v>
      </c>
      <c r="T29" s="31">
        <f t="shared" si="47"/>
        <v>0</v>
      </c>
      <c r="U29" s="61">
        <f>U22</f>
        <v>250</v>
      </c>
      <c r="V29" s="31">
        <f t="shared" si="48"/>
        <v>1.25</v>
      </c>
      <c r="W29" s="61">
        <f>W22</f>
        <v>1250</v>
      </c>
      <c r="X29" s="31">
        <f t="shared" si="49"/>
        <v>0</v>
      </c>
      <c r="Y29" s="61">
        <f>Y22</f>
        <v>250</v>
      </c>
      <c r="Z29" s="62">
        <f>SUM(Z23:Z28)</f>
        <v>4750</v>
      </c>
      <c r="AA29" s="58"/>
      <c r="AB29" s="3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ht="12.0" customHeight="1">
      <c r="A30" s="24"/>
      <c r="B30" s="63"/>
      <c r="C30" s="64"/>
      <c r="D30" s="63"/>
      <c r="E30" s="64"/>
      <c r="F30" s="63"/>
      <c r="G30" s="64"/>
      <c r="H30" s="63"/>
      <c r="I30" s="64"/>
      <c r="J30" s="63"/>
      <c r="K30" s="64"/>
      <c r="L30" s="63"/>
      <c r="M30" s="64"/>
      <c r="N30" s="63"/>
      <c r="O30" s="64"/>
      <c r="P30" s="63"/>
      <c r="Q30" s="64"/>
      <c r="R30" s="63"/>
      <c r="S30" s="64"/>
      <c r="T30" s="63"/>
      <c r="U30" s="64"/>
      <c r="V30" s="63"/>
      <c r="W30" s="64"/>
      <c r="X30" s="63"/>
      <c r="Y30" s="64"/>
      <c r="Z30" s="24"/>
      <c r="AA30" s="65"/>
      <c r="AB30" s="50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ht="12.0" customHeight="1">
      <c r="A31" s="51" t="s">
        <v>31</v>
      </c>
      <c r="B31" s="52">
        <f t="shared" ref="B31:B81" si="56">IFERROR(C31/C$20,0)</f>
        <v>0.6735038646</v>
      </c>
      <c r="C31" s="54">
        <f>SUM(C32:C45)</f>
        <v>1351.5</v>
      </c>
      <c r="D31" s="52">
        <f t="shared" ref="D31:D81" si="57">IFERROR(E31/E$20,0)</f>
        <v>0.5570157815</v>
      </c>
      <c r="E31" s="54">
        <f>SUM(E32:E45)</f>
        <v>1511</v>
      </c>
      <c r="F31" s="52">
        <f t="shared" ref="F31:F81" si="58">IFERROR(G31/G$20,0)</f>
        <v>0.5468159101</v>
      </c>
      <c r="G31" s="54">
        <f>SUM(G32:G45)</f>
        <v>1511</v>
      </c>
      <c r="H31" s="52">
        <f t="shared" ref="H31:H81" si="59">IFERROR(I31/I$20,0)</f>
        <v>0.577084459</v>
      </c>
      <c r="I31" s="54">
        <f>SUM(I32:I45)</f>
        <v>1506</v>
      </c>
      <c r="J31" s="52">
        <f t="shared" ref="J31:J81" si="60">IFERROR(K31/K$20,0)</f>
        <v>0</v>
      </c>
      <c r="K31" s="54">
        <f>SUM(K32:K45)</f>
        <v>1506</v>
      </c>
      <c r="L31" s="52">
        <f t="shared" ref="L31:L81" si="61">IFERROR(M31/M$20,0)</f>
        <v>0</v>
      </c>
      <c r="M31" s="54">
        <f>SUM(M32:M45)</f>
        <v>1506</v>
      </c>
      <c r="N31" s="52">
        <f t="shared" ref="N31:N81" si="62">IFERROR(O31/O$20,0)</f>
        <v>0</v>
      </c>
      <c r="O31" s="54">
        <f>SUM(O32:O45)</f>
        <v>1506</v>
      </c>
      <c r="P31" s="52">
        <f t="shared" ref="P31:P81" si="63">IFERROR(Q31/Q$20,0)</f>
        <v>1.506</v>
      </c>
      <c r="Q31" s="54">
        <f>SUM(Q32:Q45)</f>
        <v>1506</v>
      </c>
      <c r="R31" s="52">
        <f t="shared" ref="R31:R81" si="64">IFERROR(S31/S$20,0)</f>
        <v>0</v>
      </c>
      <c r="S31" s="54">
        <f>SUM(S32:S45)</f>
        <v>1506</v>
      </c>
      <c r="T31" s="52">
        <f t="shared" ref="T31:T81" si="65">IFERROR(U31/U$20,0)</f>
        <v>0</v>
      </c>
      <c r="U31" s="54">
        <f>SUM(U32:U45)</f>
        <v>1506</v>
      </c>
      <c r="V31" s="52">
        <f t="shared" ref="V31:V81" si="66">IFERROR(W31/W$20,0)</f>
        <v>1.506</v>
      </c>
      <c r="W31" s="54">
        <f>SUM(W32:W45)</f>
        <v>1506</v>
      </c>
      <c r="X31" s="52">
        <f t="shared" ref="X31:X81" si="67">IFERROR(Y31/Y$20,0)</f>
        <v>0</v>
      </c>
      <c r="Y31" s="54">
        <f>SUM(Y32:Y45)</f>
        <v>1506</v>
      </c>
      <c r="Z31" s="54">
        <f t="shared" ref="Z31:Z81" si="68">C31+E31+G31+I31+K31+M31+O31+Q31+S31+U31+W31+Y31</f>
        <v>17927.5</v>
      </c>
      <c r="AA31" s="65"/>
      <c r="AB31" s="56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ht="12.0" customHeight="1">
      <c r="A32" s="24" t="s">
        <v>32</v>
      </c>
      <c r="B32" s="25">
        <f t="shared" si="56"/>
        <v>0.3488366298</v>
      </c>
      <c r="C32" s="26">
        <v>700.0</v>
      </c>
      <c r="D32" s="25">
        <f t="shared" si="57"/>
        <v>0.2580483435</v>
      </c>
      <c r="E32" s="26">
        <v>700.0</v>
      </c>
      <c r="F32" s="25">
        <f t="shared" si="58"/>
        <v>0.2533230557</v>
      </c>
      <c r="G32" s="26">
        <v>700.0</v>
      </c>
      <c r="H32" s="25">
        <f t="shared" si="59"/>
        <v>0.2682331483</v>
      </c>
      <c r="I32" s="26">
        <v>700.0</v>
      </c>
      <c r="J32" s="25">
        <f t="shared" si="60"/>
        <v>0</v>
      </c>
      <c r="K32" s="26">
        <v>700.0</v>
      </c>
      <c r="L32" s="25">
        <f t="shared" si="61"/>
        <v>0</v>
      </c>
      <c r="M32" s="26">
        <v>700.0</v>
      </c>
      <c r="N32" s="25">
        <f t="shared" si="62"/>
        <v>0</v>
      </c>
      <c r="O32" s="26">
        <v>700.0</v>
      </c>
      <c r="P32" s="25">
        <f t="shared" si="63"/>
        <v>0.7</v>
      </c>
      <c r="Q32" s="26">
        <v>700.0</v>
      </c>
      <c r="R32" s="25">
        <f t="shared" si="64"/>
        <v>0</v>
      </c>
      <c r="S32" s="26">
        <v>700.0</v>
      </c>
      <c r="T32" s="25">
        <f t="shared" si="65"/>
        <v>0</v>
      </c>
      <c r="U32" s="26">
        <v>700.0</v>
      </c>
      <c r="V32" s="25">
        <f t="shared" si="66"/>
        <v>0.7</v>
      </c>
      <c r="W32" s="26">
        <v>700.0</v>
      </c>
      <c r="X32" s="25">
        <f t="shared" si="67"/>
        <v>0</v>
      </c>
      <c r="Y32" s="26">
        <v>700.0</v>
      </c>
      <c r="Z32" s="54">
        <f t="shared" si="68"/>
        <v>8400</v>
      </c>
      <c r="AA32" s="58"/>
      <c r="AB32" s="55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ht="12.0" hidden="1" customHeight="1">
      <c r="A33" s="24" t="s">
        <v>33</v>
      </c>
      <c r="B33" s="25">
        <f t="shared" si="56"/>
        <v>0</v>
      </c>
      <c r="C33" s="26"/>
      <c r="D33" s="25">
        <f t="shared" si="57"/>
        <v>0</v>
      </c>
      <c r="E33" s="26"/>
      <c r="F33" s="25">
        <f t="shared" si="58"/>
        <v>0</v>
      </c>
      <c r="G33" s="26"/>
      <c r="H33" s="25">
        <f t="shared" si="59"/>
        <v>0</v>
      </c>
      <c r="I33" s="26"/>
      <c r="J33" s="25">
        <f t="shared" si="60"/>
        <v>0</v>
      </c>
      <c r="K33" s="26"/>
      <c r="L33" s="25">
        <f t="shared" si="61"/>
        <v>0</v>
      </c>
      <c r="M33" s="26"/>
      <c r="N33" s="25">
        <f t="shared" si="62"/>
        <v>0</v>
      </c>
      <c r="O33" s="26"/>
      <c r="P33" s="25">
        <f t="shared" si="63"/>
        <v>0</v>
      </c>
      <c r="Q33" s="26"/>
      <c r="R33" s="25">
        <f t="shared" si="64"/>
        <v>0</v>
      </c>
      <c r="S33" s="26"/>
      <c r="T33" s="25">
        <f t="shared" si="65"/>
        <v>0</v>
      </c>
      <c r="U33" s="26"/>
      <c r="V33" s="25">
        <f t="shared" si="66"/>
        <v>0</v>
      </c>
      <c r="W33" s="26"/>
      <c r="X33" s="25">
        <f t="shared" si="67"/>
        <v>0</v>
      </c>
      <c r="Y33" s="26"/>
      <c r="Z33" s="54">
        <f t="shared" si="68"/>
        <v>0</v>
      </c>
      <c r="AA33" s="58"/>
      <c r="AB33" s="55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ht="12.0" hidden="1" customHeight="1">
      <c r="A34" s="24" t="s">
        <v>34</v>
      </c>
      <c r="B34" s="25">
        <f t="shared" si="56"/>
        <v>0</v>
      </c>
      <c r="C34" s="26"/>
      <c r="D34" s="25">
        <f t="shared" si="57"/>
        <v>0</v>
      </c>
      <c r="E34" s="26"/>
      <c r="F34" s="25">
        <f t="shared" si="58"/>
        <v>0</v>
      </c>
      <c r="G34" s="26"/>
      <c r="H34" s="25">
        <f t="shared" si="59"/>
        <v>0</v>
      </c>
      <c r="I34" s="26"/>
      <c r="J34" s="25">
        <f t="shared" si="60"/>
        <v>0</v>
      </c>
      <c r="K34" s="26"/>
      <c r="L34" s="25">
        <f t="shared" si="61"/>
        <v>0</v>
      </c>
      <c r="M34" s="26"/>
      <c r="N34" s="25">
        <f t="shared" si="62"/>
        <v>0</v>
      </c>
      <c r="O34" s="26"/>
      <c r="P34" s="25">
        <f t="shared" si="63"/>
        <v>0</v>
      </c>
      <c r="Q34" s="26"/>
      <c r="R34" s="25">
        <f t="shared" si="64"/>
        <v>0</v>
      </c>
      <c r="S34" s="26"/>
      <c r="T34" s="25">
        <f t="shared" si="65"/>
        <v>0</v>
      </c>
      <c r="U34" s="26"/>
      <c r="V34" s="25">
        <f t="shared" si="66"/>
        <v>0</v>
      </c>
      <c r="W34" s="26"/>
      <c r="X34" s="25">
        <f t="shared" si="67"/>
        <v>0</v>
      </c>
      <c r="Y34" s="26"/>
      <c r="Z34" s="54">
        <f t="shared" si="68"/>
        <v>0</v>
      </c>
      <c r="AA34" s="58"/>
      <c r="AB34" s="55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12.0" customHeight="1">
      <c r="A35" s="24" t="s">
        <v>35</v>
      </c>
      <c r="B35" s="25">
        <f t="shared" si="56"/>
        <v>0.02491690213</v>
      </c>
      <c r="C35" s="28">
        <v>50.0</v>
      </c>
      <c r="D35" s="25">
        <f t="shared" si="57"/>
        <v>0.01843202454</v>
      </c>
      <c r="E35" s="28">
        <v>50.0</v>
      </c>
      <c r="F35" s="25">
        <f t="shared" si="58"/>
        <v>0.01809450398</v>
      </c>
      <c r="G35" s="28">
        <v>50.0</v>
      </c>
      <c r="H35" s="25">
        <f t="shared" si="59"/>
        <v>0.01724355953</v>
      </c>
      <c r="I35" s="26">
        <v>45.0</v>
      </c>
      <c r="J35" s="25">
        <f t="shared" si="60"/>
        <v>0</v>
      </c>
      <c r="K35" s="26">
        <v>45.0</v>
      </c>
      <c r="L35" s="25">
        <f t="shared" si="61"/>
        <v>0</v>
      </c>
      <c r="M35" s="26">
        <v>45.0</v>
      </c>
      <c r="N35" s="25">
        <f t="shared" si="62"/>
        <v>0</v>
      </c>
      <c r="O35" s="26">
        <v>45.0</v>
      </c>
      <c r="P35" s="25">
        <f t="shared" si="63"/>
        <v>0.045</v>
      </c>
      <c r="Q35" s="26">
        <v>45.0</v>
      </c>
      <c r="R35" s="25">
        <f t="shared" si="64"/>
        <v>0</v>
      </c>
      <c r="S35" s="26">
        <v>45.0</v>
      </c>
      <c r="T35" s="25">
        <f t="shared" si="65"/>
        <v>0</v>
      </c>
      <c r="U35" s="26">
        <v>45.0</v>
      </c>
      <c r="V35" s="25">
        <f t="shared" si="66"/>
        <v>0.045</v>
      </c>
      <c r="W35" s="26">
        <v>45.0</v>
      </c>
      <c r="X35" s="25">
        <f t="shared" si="67"/>
        <v>0</v>
      </c>
      <c r="Y35" s="26">
        <v>45.0</v>
      </c>
      <c r="Z35" s="54">
        <f t="shared" si="68"/>
        <v>555</v>
      </c>
      <c r="AA35" s="58"/>
      <c r="AB35" s="55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ht="12.0" customHeight="1">
      <c r="A36" s="24" t="s">
        <v>36</v>
      </c>
      <c r="B36" s="25">
        <f t="shared" si="56"/>
        <v>0.01545844608</v>
      </c>
      <c r="C36" s="28">
        <v>31.02</v>
      </c>
      <c r="D36" s="25">
        <f t="shared" si="57"/>
        <v>0.01290241718</v>
      </c>
      <c r="E36" s="28">
        <v>35.0</v>
      </c>
      <c r="F36" s="25">
        <f t="shared" si="58"/>
        <v>0.01266615278</v>
      </c>
      <c r="G36" s="28">
        <v>35.0</v>
      </c>
      <c r="H36" s="25">
        <f t="shared" si="59"/>
        <v>0.01341165741</v>
      </c>
      <c r="I36" s="28">
        <v>35.0</v>
      </c>
      <c r="J36" s="25">
        <f t="shared" si="60"/>
        <v>0</v>
      </c>
      <c r="K36" s="28">
        <v>35.0</v>
      </c>
      <c r="L36" s="25">
        <f t="shared" si="61"/>
        <v>0</v>
      </c>
      <c r="M36" s="28">
        <v>35.0</v>
      </c>
      <c r="N36" s="25">
        <f t="shared" si="62"/>
        <v>0</v>
      </c>
      <c r="O36" s="28">
        <v>35.0</v>
      </c>
      <c r="P36" s="25">
        <f t="shared" si="63"/>
        <v>0.035</v>
      </c>
      <c r="Q36" s="28">
        <v>35.0</v>
      </c>
      <c r="R36" s="25">
        <f t="shared" si="64"/>
        <v>0</v>
      </c>
      <c r="S36" s="28">
        <v>35.0</v>
      </c>
      <c r="T36" s="25">
        <f t="shared" si="65"/>
        <v>0</v>
      </c>
      <c r="U36" s="28">
        <v>35.0</v>
      </c>
      <c r="V36" s="25">
        <f t="shared" si="66"/>
        <v>0.035</v>
      </c>
      <c r="W36" s="28">
        <v>35.0</v>
      </c>
      <c r="X36" s="25">
        <f t="shared" si="67"/>
        <v>0</v>
      </c>
      <c r="Y36" s="28">
        <v>35.0</v>
      </c>
      <c r="Z36" s="54">
        <f t="shared" si="68"/>
        <v>416.02</v>
      </c>
      <c r="AA36" s="58"/>
      <c r="AB36" s="5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ht="12.0" hidden="1" customHeight="1">
      <c r="A37" s="24" t="s">
        <v>37</v>
      </c>
      <c r="B37" s="25">
        <f t="shared" si="56"/>
        <v>0</v>
      </c>
      <c r="C37" s="26"/>
      <c r="D37" s="25">
        <f t="shared" si="57"/>
        <v>0</v>
      </c>
      <c r="E37" s="26"/>
      <c r="F37" s="25">
        <f t="shared" si="58"/>
        <v>0</v>
      </c>
      <c r="G37" s="26"/>
      <c r="H37" s="25">
        <f t="shared" si="59"/>
        <v>0</v>
      </c>
      <c r="I37" s="26"/>
      <c r="J37" s="25">
        <f t="shared" si="60"/>
        <v>0</v>
      </c>
      <c r="K37" s="26"/>
      <c r="L37" s="25">
        <f t="shared" si="61"/>
        <v>0</v>
      </c>
      <c r="M37" s="26"/>
      <c r="N37" s="25">
        <f t="shared" si="62"/>
        <v>0</v>
      </c>
      <c r="O37" s="26"/>
      <c r="P37" s="25">
        <f t="shared" si="63"/>
        <v>0</v>
      </c>
      <c r="Q37" s="26"/>
      <c r="R37" s="25">
        <f t="shared" si="64"/>
        <v>0</v>
      </c>
      <c r="S37" s="26"/>
      <c r="T37" s="25">
        <f t="shared" si="65"/>
        <v>0</v>
      </c>
      <c r="U37" s="26"/>
      <c r="V37" s="25">
        <f t="shared" si="66"/>
        <v>0</v>
      </c>
      <c r="W37" s="26"/>
      <c r="X37" s="25">
        <f t="shared" si="67"/>
        <v>0</v>
      </c>
      <c r="Y37" s="26"/>
      <c r="Z37" s="54">
        <f t="shared" si="68"/>
        <v>0</v>
      </c>
      <c r="AA37" s="58"/>
      <c r="AB37" s="55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ht="12.0" customHeight="1">
      <c r="A38" s="24" t="s">
        <v>38</v>
      </c>
      <c r="B38" s="25">
        <f t="shared" si="56"/>
        <v>0.0146910055</v>
      </c>
      <c r="C38" s="28">
        <v>29.48</v>
      </c>
      <c r="D38" s="25">
        <f t="shared" si="57"/>
        <v>0.01290241718</v>
      </c>
      <c r="E38" s="26">
        <v>35.0</v>
      </c>
      <c r="F38" s="25">
        <f t="shared" si="58"/>
        <v>0.01266615278</v>
      </c>
      <c r="G38" s="26">
        <v>35.0</v>
      </c>
      <c r="H38" s="25">
        <f t="shared" si="59"/>
        <v>0.01341165741</v>
      </c>
      <c r="I38" s="26">
        <v>35.0</v>
      </c>
      <c r="J38" s="25">
        <f t="shared" si="60"/>
        <v>0</v>
      </c>
      <c r="K38" s="26">
        <v>35.0</v>
      </c>
      <c r="L38" s="25">
        <f t="shared" si="61"/>
        <v>0</v>
      </c>
      <c r="M38" s="26">
        <v>35.0</v>
      </c>
      <c r="N38" s="25">
        <f t="shared" si="62"/>
        <v>0</v>
      </c>
      <c r="O38" s="26">
        <v>35.0</v>
      </c>
      <c r="P38" s="25">
        <f t="shared" si="63"/>
        <v>0.035</v>
      </c>
      <c r="Q38" s="26">
        <v>35.0</v>
      </c>
      <c r="R38" s="25">
        <f t="shared" si="64"/>
        <v>0</v>
      </c>
      <c r="S38" s="26">
        <v>35.0</v>
      </c>
      <c r="T38" s="25">
        <f t="shared" si="65"/>
        <v>0</v>
      </c>
      <c r="U38" s="26">
        <v>35.0</v>
      </c>
      <c r="V38" s="25">
        <f t="shared" si="66"/>
        <v>0.035</v>
      </c>
      <c r="W38" s="26">
        <v>35.0</v>
      </c>
      <c r="X38" s="25">
        <f t="shared" si="67"/>
        <v>0</v>
      </c>
      <c r="Y38" s="26">
        <v>35.0</v>
      </c>
      <c r="Z38" s="54">
        <f t="shared" si="68"/>
        <v>414.48</v>
      </c>
      <c r="AA38" s="58"/>
      <c r="AB38" s="55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ht="12.0" customHeight="1">
      <c r="A39" s="24" t="s">
        <v>39</v>
      </c>
      <c r="B39" s="25">
        <f t="shared" si="56"/>
        <v>0.01794016953</v>
      </c>
      <c r="C39" s="26">
        <v>36.0</v>
      </c>
      <c r="D39" s="25">
        <f t="shared" si="57"/>
        <v>0.01327105767</v>
      </c>
      <c r="E39" s="26">
        <v>36.0</v>
      </c>
      <c r="F39" s="25">
        <f t="shared" si="58"/>
        <v>0.01302804286</v>
      </c>
      <c r="G39" s="26">
        <v>36.0</v>
      </c>
      <c r="H39" s="25">
        <f t="shared" si="59"/>
        <v>0.01379484762</v>
      </c>
      <c r="I39" s="26">
        <v>36.0</v>
      </c>
      <c r="J39" s="25">
        <f t="shared" si="60"/>
        <v>0</v>
      </c>
      <c r="K39" s="26">
        <v>36.0</v>
      </c>
      <c r="L39" s="25">
        <f t="shared" si="61"/>
        <v>0</v>
      </c>
      <c r="M39" s="26">
        <v>36.0</v>
      </c>
      <c r="N39" s="25">
        <f t="shared" si="62"/>
        <v>0</v>
      </c>
      <c r="O39" s="26">
        <v>36.0</v>
      </c>
      <c r="P39" s="25">
        <f t="shared" si="63"/>
        <v>0.036</v>
      </c>
      <c r="Q39" s="26">
        <v>36.0</v>
      </c>
      <c r="R39" s="25">
        <f t="shared" si="64"/>
        <v>0</v>
      </c>
      <c r="S39" s="26">
        <v>36.0</v>
      </c>
      <c r="T39" s="25">
        <f t="shared" si="65"/>
        <v>0</v>
      </c>
      <c r="U39" s="26">
        <v>36.0</v>
      </c>
      <c r="V39" s="25">
        <f t="shared" si="66"/>
        <v>0.036</v>
      </c>
      <c r="W39" s="26">
        <v>36.0</v>
      </c>
      <c r="X39" s="25">
        <f t="shared" si="67"/>
        <v>0</v>
      </c>
      <c r="Y39" s="26">
        <v>36.0</v>
      </c>
      <c r="Z39" s="54">
        <f t="shared" si="68"/>
        <v>432</v>
      </c>
      <c r="AA39" s="58"/>
      <c r="AB39" s="55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ht="12.0" hidden="1" customHeight="1">
      <c r="A40" s="24" t="s">
        <v>40</v>
      </c>
      <c r="B40" s="25">
        <f t="shared" si="56"/>
        <v>0</v>
      </c>
      <c r="C40" s="26"/>
      <c r="D40" s="25">
        <f t="shared" si="57"/>
        <v>0</v>
      </c>
      <c r="E40" s="26"/>
      <c r="F40" s="25">
        <f t="shared" si="58"/>
        <v>0</v>
      </c>
      <c r="G40" s="26"/>
      <c r="H40" s="25">
        <f t="shared" si="59"/>
        <v>0</v>
      </c>
      <c r="I40" s="26"/>
      <c r="J40" s="25">
        <f t="shared" si="60"/>
        <v>0</v>
      </c>
      <c r="K40" s="26"/>
      <c r="L40" s="25">
        <f t="shared" si="61"/>
        <v>0</v>
      </c>
      <c r="M40" s="26"/>
      <c r="N40" s="25">
        <f t="shared" si="62"/>
        <v>0</v>
      </c>
      <c r="O40" s="26"/>
      <c r="P40" s="25">
        <f t="shared" si="63"/>
        <v>0</v>
      </c>
      <c r="Q40" s="26"/>
      <c r="R40" s="25">
        <f t="shared" si="64"/>
        <v>0</v>
      </c>
      <c r="S40" s="26"/>
      <c r="T40" s="25">
        <f t="shared" si="65"/>
        <v>0</v>
      </c>
      <c r="U40" s="26"/>
      <c r="V40" s="25">
        <f t="shared" si="66"/>
        <v>0</v>
      </c>
      <c r="W40" s="26"/>
      <c r="X40" s="25">
        <f t="shared" si="67"/>
        <v>0</v>
      </c>
      <c r="Y40" s="26"/>
      <c r="Z40" s="54">
        <f t="shared" si="68"/>
        <v>0</v>
      </c>
      <c r="AA40" s="58"/>
      <c r="AB40" s="55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ht="12.0" customHeight="1">
      <c r="A41" s="24" t="s">
        <v>41</v>
      </c>
      <c r="B41" s="25">
        <f t="shared" si="56"/>
        <v>0.002491690213</v>
      </c>
      <c r="C41" s="26">
        <v>5.0</v>
      </c>
      <c r="D41" s="25">
        <f t="shared" si="57"/>
        <v>0.001843202454</v>
      </c>
      <c r="E41" s="66">
        <v>5.0</v>
      </c>
      <c r="F41" s="25">
        <f t="shared" si="58"/>
        <v>0.001809450398</v>
      </c>
      <c r="G41" s="26">
        <v>5.0</v>
      </c>
      <c r="H41" s="25">
        <f t="shared" si="59"/>
        <v>0.001915951059</v>
      </c>
      <c r="I41" s="26">
        <v>5.0</v>
      </c>
      <c r="J41" s="25">
        <f t="shared" si="60"/>
        <v>0</v>
      </c>
      <c r="K41" s="66">
        <v>5.0</v>
      </c>
      <c r="L41" s="25">
        <f t="shared" si="61"/>
        <v>0</v>
      </c>
      <c r="M41" s="66">
        <v>5.0</v>
      </c>
      <c r="N41" s="25">
        <f t="shared" si="62"/>
        <v>0</v>
      </c>
      <c r="O41" s="66">
        <v>5.0</v>
      </c>
      <c r="P41" s="25">
        <f t="shared" si="63"/>
        <v>0.005</v>
      </c>
      <c r="Q41" s="66">
        <v>5.0</v>
      </c>
      <c r="R41" s="25">
        <f t="shared" si="64"/>
        <v>0</v>
      </c>
      <c r="S41" s="66">
        <v>5.0</v>
      </c>
      <c r="T41" s="25">
        <f t="shared" si="65"/>
        <v>0</v>
      </c>
      <c r="U41" s="66">
        <v>5.0</v>
      </c>
      <c r="V41" s="25">
        <f t="shared" si="66"/>
        <v>0.005</v>
      </c>
      <c r="W41" s="66">
        <v>5.0</v>
      </c>
      <c r="X41" s="25">
        <f t="shared" si="67"/>
        <v>0</v>
      </c>
      <c r="Y41" s="66">
        <v>5.0</v>
      </c>
      <c r="Z41" s="54">
        <f t="shared" si="68"/>
        <v>60</v>
      </c>
      <c r="AA41" s="58"/>
      <c r="AB41" s="55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12.0" customHeight="1">
      <c r="A42" s="24" t="s">
        <v>42</v>
      </c>
      <c r="B42" s="25">
        <f t="shared" si="56"/>
        <v>0.1993352171</v>
      </c>
      <c r="C42" s="28">
        <v>400.0</v>
      </c>
      <c r="D42" s="25">
        <f t="shared" si="57"/>
        <v>0.1474561963</v>
      </c>
      <c r="E42" s="67">
        <v>400.0</v>
      </c>
      <c r="F42" s="25">
        <f t="shared" si="58"/>
        <v>0.1447560318</v>
      </c>
      <c r="G42" s="28">
        <v>400.0</v>
      </c>
      <c r="H42" s="25">
        <f t="shared" si="59"/>
        <v>0.1532760847</v>
      </c>
      <c r="I42" s="28">
        <v>400.0</v>
      </c>
      <c r="J42" s="25">
        <f t="shared" si="60"/>
        <v>0</v>
      </c>
      <c r="K42" s="67">
        <v>400.0</v>
      </c>
      <c r="L42" s="25">
        <f t="shared" si="61"/>
        <v>0</v>
      </c>
      <c r="M42" s="67">
        <v>400.0</v>
      </c>
      <c r="N42" s="25">
        <f t="shared" si="62"/>
        <v>0</v>
      </c>
      <c r="O42" s="67">
        <v>400.0</v>
      </c>
      <c r="P42" s="25">
        <f t="shared" si="63"/>
        <v>0.4</v>
      </c>
      <c r="Q42" s="67">
        <v>400.0</v>
      </c>
      <c r="R42" s="25">
        <f t="shared" si="64"/>
        <v>0</v>
      </c>
      <c r="S42" s="67">
        <v>400.0</v>
      </c>
      <c r="T42" s="25">
        <f t="shared" si="65"/>
        <v>0</v>
      </c>
      <c r="U42" s="67">
        <v>400.0</v>
      </c>
      <c r="V42" s="25">
        <f t="shared" si="66"/>
        <v>0.4</v>
      </c>
      <c r="W42" s="67">
        <v>400.0</v>
      </c>
      <c r="X42" s="25">
        <f t="shared" si="67"/>
        <v>0</v>
      </c>
      <c r="Y42" s="67">
        <v>400.0</v>
      </c>
      <c r="Z42" s="54">
        <f t="shared" si="68"/>
        <v>4800</v>
      </c>
      <c r="AA42" s="68"/>
      <c r="AB42" s="55"/>
      <c r="AC42" s="69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ht="12.0" customHeight="1">
      <c r="A43" s="24" t="s">
        <v>43</v>
      </c>
      <c r="B43" s="25">
        <f t="shared" si="56"/>
        <v>0</v>
      </c>
      <c r="C43" s="28">
        <v>0.0</v>
      </c>
      <c r="D43" s="25">
        <f t="shared" si="57"/>
        <v>0.01843202454</v>
      </c>
      <c r="E43" s="66">
        <v>50.0</v>
      </c>
      <c r="F43" s="25">
        <f t="shared" si="58"/>
        <v>0.01809450398</v>
      </c>
      <c r="G43" s="26">
        <v>50.0</v>
      </c>
      <c r="H43" s="25">
        <f t="shared" si="59"/>
        <v>0.01915951059</v>
      </c>
      <c r="I43" s="26">
        <v>50.0</v>
      </c>
      <c r="J43" s="25">
        <f t="shared" si="60"/>
        <v>0</v>
      </c>
      <c r="K43" s="66">
        <v>50.0</v>
      </c>
      <c r="L43" s="25">
        <f t="shared" si="61"/>
        <v>0</v>
      </c>
      <c r="M43" s="66">
        <v>50.0</v>
      </c>
      <c r="N43" s="25">
        <f t="shared" si="62"/>
        <v>0</v>
      </c>
      <c r="O43" s="66">
        <v>50.0</v>
      </c>
      <c r="P43" s="25">
        <f t="shared" si="63"/>
        <v>0.05</v>
      </c>
      <c r="Q43" s="66">
        <v>50.0</v>
      </c>
      <c r="R43" s="25">
        <f t="shared" si="64"/>
        <v>0</v>
      </c>
      <c r="S43" s="66">
        <v>50.0</v>
      </c>
      <c r="T43" s="25">
        <f t="shared" si="65"/>
        <v>0</v>
      </c>
      <c r="U43" s="66">
        <v>50.0</v>
      </c>
      <c r="V43" s="25">
        <f t="shared" si="66"/>
        <v>0.05</v>
      </c>
      <c r="W43" s="66">
        <v>50.0</v>
      </c>
      <c r="X43" s="25">
        <f t="shared" si="67"/>
        <v>0</v>
      </c>
      <c r="Y43" s="66">
        <v>50.0</v>
      </c>
      <c r="Z43" s="54">
        <f t="shared" si="68"/>
        <v>550</v>
      </c>
      <c r="AA43" s="58"/>
      <c r="AB43" s="55"/>
      <c r="AC43" s="69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12.0" customHeight="1">
      <c r="A44" s="24" t="s">
        <v>44</v>
      </c>
      <c r="B44" s="25">
        <f t="shared" si="56"/>
        <v>0.04983380426</v>
      </c>
      <c r="C44" s="28">
        <v>100.0</v>
      </c>
      <c r="D44" s="25">
        <f t="shared" si="57"/>
        <v>0.07372809815</v>
      </c>
      <c r="E44" s="70">
        <v>200.0</v>
      </c>
      <c r="F44" s="25">
        <f t="shared" si="58"/>
        <v>0.0723780159</v>
      </c>
      <c r="G44" s="26">
        <v>200.0</v>
      </c>
      <c r="H44" s="25">
        <f t="shared" si="59"/>
        <v>0.07663804236</v>
      </c>
      <c r="I44" s="26">
        <v>200.0</v>
      </c>
      <c r="J44" s="25">
        <f t="shared" si="60"/>
        <v>0</v>
      </c>
      <c r="K44" s="66">
        <v>200.0</v>
      </c>
      <c r="L44" s="25">
        <f t="shared" si="61"/>
        <v>0</v>
      </c>
      <c r="M44" s="66">
        <v>200.0</v>
      </c>
      <c r="N44" s="25">
        <f t="shared" si="62"/>
        <v>0</v>
      </c>
      <c r="O44" s="66">
        <v>200.0</v>
      </c>
      <c r="P44" s="25">
        <f t="shared" si="63"/>
        <v>0.2</v>
      </c>
      <c r="Q44" s="66">
        <v>200.0</v>
      </c>
      <c r="R44" s="25">
        <f t="shared" si="64"/>
        <v>0</v>
      </c>
      <c r="S44" s="66">
        <v>200.0</v>
      </c>
      <c r="T44" s="25">
        <f t="shared" si="65"/>
        <v>0</v>
      </c>
      <c r="U44" s="66">
        <v>200.0</v>
      </c>
      <c r="V44" s="25">
        <f t="shared" si="66"/>
        <v>0.2</v>
      </c>
      <c r="W44" s="66">
        <v>200.0</v>
      </c>
      <c r="X44" s="25">
        <f t="shared" si="67"/>
        <v>0</v>
      </c>
      <c r="Y44" s="66">
        <v>200.0</v>
      </c>
      <c r="Z44" s="54">
        <f t="shared" si="68"/>
        <v>2300</v>
      </c>
      <c r="AA44" s="58"/>
      <c r="AB44" s="55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ht="12.0" hidden="1" customHeight="1">
      <c r="A45" s="24" t="s">
        <v>45</v>
      </c>
      <c r="B45" s="25">
        <f t="shared" si="56"/>
        <v>0</v>
      </c>
      <c r="C45" s="26"/>
      <c r="D45" s="25">
        <f t="shared" si="57"/>
        <v>0</v>
      </c>
      <c r="E45" s="26"/>
      <c r="F45" s="25">
        <f t="shared" si="58"/>
        <v>0</v>
      </c>
      <c r="G45" s="26"/>
      <c r="H45" s="25">
        <f t="shared" si="59"/>
        <v>0</v>
      </c>
      <c r="I45" s="26"/>
      <c r="J45" s="25">
        <f t="shared" si="60"/>
        <v>0</v>
      </c>
      <c r="K45" s="26"/>
      <c r="L45" s="25">
        <f t="shared" si="61"/>
        <v>0</v>
      </c>
      <c r="M45" s="26"/>
      <c r="N45" s="25">
        <f t="shared" si="62"/>
        <v>0</v>
      </c>
      <c r="O45" s="26"/>
      <c r="P45" s="25">
        <f t="shared" si="63"/>
        <v>0</v>
      </c>
      <c r="Q45" s="26"/>
      <c r="R45" s="25">
        <f t="shared" si="64"/>
        <v>0</v>
      </c>
      <c r="S45" s="26"/>
      <c r="T45" s="25">
        <f t="shared" si="65"/>
        <v>0</v>
      </c>
      <c r="U45" s="26"/>
      <c r="V45" s="25">
        <f t="shared" si="66"/>
        <v>0</v>
      </c>
      <c r="W45" s="26"/>
      <c r="X45" s="25">
        <f t="shared" si="67"/>
        <v>0</v>
      </c>
      <c r="Y45" s="26"/>
      <c r="Z45" s="54">
        <f t="shared" si="68"/>
        <v>0</v>
      </c>
      <c r="AA45" s="58"/>
      <c r="AB45" s="55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ht="12.0" customHeight="1">
      <c r="A46" s="51" t="s">
        <v>46</v>
      </c>
      <c r="B46" s="52">
        <f t="shared" si="56"/>
        <v>0.08262943085</v>
      </c>
      <c r="C46" s="54">
        <f>SUM(C47:C52)</f>
        <v>165.81</v>
      </c>
      <c r="D46" s="52">
        <f t="shared" si="57"/>
        <v>0.06112427977</v>
      </c>
      <c r="E46" s="54">
        <f>SUM(E47:E52)</f>
        <v>165.81</v>
      </c>
      <c r="F46" s="52">
        <f t="shared" si="58"/>
        <v>0.06000499408</v>
      </c>
      <c r="G46" s="54">
        <f>SUM(G47:G52)</f>
        <v>165.81</v>
      </c>
      <c r="H46" s="52">
        <f t="shared" si="59"/>
        <v>0.06353676902</v>
      </c>
      <c r="I46" s="54">
        <f>SUM(I47:I52)</f>
        <v>165.81</v>
      </c>
      <c r="J46" s="52">
        <f t="shared" si="60"/>
        <v>0</v>
      </c>
      <c r="K46" s="54">
        <f>SUM(K47:K52)</f>
        <v>165.81</v>
      </c>
      <c r="L46" s="52">
        <f t="shared" si="61"/>
        <v>0</v>
      </c>
      <c r="M46" s="54">
        <f>SUM(M47:M52)</f>
        <v>165.81</v>
      </c>
      <c r="N46" s="52">
        <f t="shared" si="62"/>
        <v>0</v>
      </c>
      <c r="O46" s="54">
        <f>SUM(O47:O52)</f>
        <v>165.81</v>
      </c>
      <c r="P46" s="52">
        <f t="shared" si="63"/>
        <v>0.16072</v>
      </c>
      <c r="Q46" s="54">
        <f>SUM(Q47:Q52)</f>
        <v>160.72</v>
      </c>
      <c r="R46" s="52">
        <f t="shared" si="64"/>
        <v>0</v>
      </c>
      <c r="S46" s="54">
        <f>SUM(S47:S52)</f>
        <v>104.81</v>
      </c>
      <c r="T46" s="52">
        <f t="shared" si="65"/>
        <v>0</v>
      </c>
      <c r="U46" s="54">
        <f>SUM(U47:U52)</f>
        <v>98.31</v>
      </c>
      <c r="V46" s="52">
        <f t="shared" si="66"/>
        <v>0.09181</v>
      </c>
      <c r="W46" s="54">
        <f>SUM(W47:W52)</f>
        <v>91.81</v>
      </c>
      <c r="X46" s="52">
        <f t="shared" si="67"/>
        <v>0</v>
      </c>
      <c r="Y46" s="54">
        <f>SUM(Y47:Y52)</f>
        <v>104.81</v>
      </c>
      <c r="Z46" s="54">
        <f t="shared" si="68"/>
        <v>1721.13</v>
      </c>
      <c r="AA46" s="58"/>
      <c r="AB46" s="55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ht="12.0" customHeight="1">
      <c r="A47" s="24" t="s">
        <v>47</v>
      </c>
      <c r="B47" s="25">
        <f t="shared" si="56"/>
        <v>0.05223081025</v>
      </c>
      <c r="C47" s="26">
        <f>104.81</f>
        <v>104.81</v>
      </c>
      <c r="D47" s="25">
        <f t="shared" si="57"/>
        <v>0.03863720983</v>
      </c>
      <c r="E47" s="26">
        <f>104.81</f>
        <v>104.81</v>
      </c>
      <c r="F47" s="25">
        <f t="shared" si="58"/>
        <v>0.03792969923</v>
      </c>
      <c r="G47" s="26">
        <f>104.81</f>
        <v>104.81</v>
      </c>
      <c r="H47" s="25">
        <f t="shared" si="59"/>
        <v>0.0401621661</v>
      </c>
      <c r="I47" s="26">
        <f>104.81</f>
        <v>104.81</v>
      </c>
      <c r="J47" s="25">
        <f t="shared" si="60"/>
        <v>0</v>
      </c>
      <c r="K47" s="26">
        <f>104.81</f>
        <v>104.81</v>
      </c>
      <c r="L47" s="25">
        <f t="shared" si="61"/>
        <v>0</v>
      </c>
      <c r="M47" s="26">
        <f>104.81</f>
        <v>104.81</v>
      </c>
      <c r="N47" s="25">
        <f t="shared" si="62"/>
        <v>0</v>
      </c>
      <c r="O47" s="26">
        <f>104.81</f>
        <v>104.81</v>
      </c>
      <c r="P47" s="25">
        <f t="shared" si="63"/>
        <v>0.10481</v>
      </c>
      <c r="Q47" s="26">
        <f>104.81</f>
        <v>104.81</v>
      </c>
      <c r="R47" s="25">
        <f t="shared" si="64"/>
        <v>0</v>
      </c>
      <c r="S47" s="26">
        <f>104.81</f>
        <v>104.81</v>
      </c>
      <c r="T47" s="25">
        <f t="shared" si="65"/>
        <v>0</v>
      </c>
      <c r="U47" s="26">
        <f>S47-6.5</f>
        <v>98.31</v>
      </c>
      <c r="V47" s="25">
        <f t="shared" si="66"/>
        <v>0.09181</v>
      </c>
      <c r="W47" s="26">
        <f>U47-6.5</f>
        <v>91.81</v>
      </c>
      <c r="X47" s="25">
        <f t="shared" si="67"/>
        <v>0</v>
      </c>
      <c r="Y47" s="26">
        <f>104.81</f>
        <v>104.81</v>
      </c>
      <c r="Z47" s="54">
        <f t="shared" si="68"/>
        <v>1238.22</v>
      </c>
      <c r="AA47" s="58"/>
      <c r="AB47" s="55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ht="12.0" hidden="1" customHeight="1">
      <c r="A48" s="24" t="s">
        <v>48</v>
      </c>
      <c r="B48" s="25">
        <f t="shared" si="56"/>
        <v>0</v>
      </c>
      <c r="C48" s="26"/>
      <c r="D48" s="25">
        <f t="shared" si="57"/>
        <v>0</v>
      </c>
      <c r="E48" s="26"/>
      <c r="F48" s="25">
        <f t="shared" si="58"/>
        <v>0</v>
      </c>
      <c r="G48" s="26"/>
      <c r="H48" s="25">
        <f t="shared" si="59"/>
        <v>0</v>
      </c>
      <c r="I48" s="26"/>
      <c r="J48" s="25">
        <f t="shared" si="60"/>
        <v>0</v>
      </c>
      <c r="K48" s="26"/>
      <c r="L48" s="25">
        <f t="shared" si="61"/>
        <v>0</v>
      </c>
      <c r="M48" s="26"/>
      <c r="N48" s="25">
        <f t="shared" si="62"/>
        <v>0</v>
      </c>
      <c r="O48" s="26"/>
      <c r="P48" s="25">
        <f t="shared" si="63"/>
        <v>0</v>
      </c>
      <c r="Q48" s="26"/>
      <c r="R48" s="25">
        <f t="shared" si="64"/>
        <v>0</v>
      </c>
      <c r="S48" s="26"/>
      <c r="T48" s="25">
        <f t="shared" si="65"/>
        <v>0</v>
      </c>
      <c r="U48" s="26"/>
      <c r="V48" s="25">
        <f t="shared" si="66"/>
        <v>0</v>
      </c>
      <c r="W48" s="26"/>
      <c r="X48" s="25">
        <f t="shared" si="67"/>
        <v>0</v>
      </c>
      <c r="Y48" s="26"/>
      <c r="Z48" s="54">
        <f t="shared" si="68"/>
        <v>0</v>
      </c>
      <c r="AA48" s="58"/>
      <c r="AB48" s="55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ht="12.0" hidden="1" customHeight="1">
      <c r="A49" s="24" t="s">
        <v>49</v>
      </c>
      <c r="B49" s="25">
        <f t="shared" si="56"/>
        <v>0</v>
      </c>
      <c r="C49" s="26"/>
      <c r="D49" s="25">
        <f t="shared" si="57"/>
        <v>0</v>
      </c>
      <c r="E49" s="26"/>
      <c r="F49" s="25">
        <f t="shared" si="58"/>
        <v>0</v>
      </c>
      <c r="G49" s="26"/>
      <c r="H49" s="25">
        <f t="shared" si="59"/>
        <v>0</v>
      </c>
      <c r="I49" s="26"/>
      <c r="J49" s="25">
        <f t="shared" si="60"/>
        <v>0</v>
      </c>
      <c r="K49" s="26"/>
      <c r="L49" s="25">
        <f t="shared" si="61"/>
        <v>0</v>
      </c>
      <c r="M49" s="26"/>
      <c r="N49" s="25">
        <f t="shared" si="62"/>
        <v>0</v>
      </c>
      <c r="O49" s="26"/>
      <c r="P49" s="25">
        <f t="shared" si="63"/>
        <v>0</v>
      </c>
      <c r="Q49" s="26"/>
      <c r="R49" s="25">
        <f t="shared" si="64"/>
        <v>0</v>
      </c>
      <c r="S49" s="26"/>
      <c r="T49" s="25">
        <f t="shared" si="65"/>
        <v>0</v>
      </c>
      <c r="U49" s="26"/>
      <c r="V49" s="25">
        <f t="shared" si="66"/>
        <v>0</v>
      </c>
      <c r="W49" s="26"/>
      <c r="X49" s="25">
        <f t="shared" si="67"/>
        <v>0</v>
      </c>
      <c r="Y49" s="26"/>
      <c r="Z49" s="54">
        <f t="shared" si="68"/>
        <v>0</v>
      </c>
      <c r="AA49" s="58"/>
      <c r="AB49" s="55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12.0" hidden="1" customHeight="1">
      <c r="A50" s="24" t="s">
        <v>50</v>
      </c>
      <c r="B50" s="25">
        <f t="shared" si="56"/>
        <v>0</v>
      </c>
      <c r="C50" s="26"/>
      <c r="D50" s="25">
        <f t="shared" si="57"/>
        <v>0</v>
      </c>
      <c r="E50" s="26"/>
      <c r="F50" s="25">
        <f t="shared" si="58"/>
        <v>0</v>
      </c>
      <c r="G50" s="26"/>
      <c r="H50" s="25">
        <f t="shared" si="59"/>
        <v>0</v>
      </c>
      <c r="I50" s="26"/>
      <c r="J50" s="25">
        <f t="shared" si="60"/>
        <v>0</v>
      </c>
      <c r="K50" s="26"/>
      <c r="L50" s="25">
        <f t="shared" si="61"/>
        <v>0</v>
      </c>
      <c r="M50" s="26"/>
      <c r="N50" s="25">
        <f t="shared" si="62"/>
        <v>0</v>
      </c>
      <c r="O50" s="26"/>
      <c r="P50" s="25">
        <f t="shared" si="63"/>
        <v>0</v>
      </c>
      <c r="Q50" s="26"/>
      <c r="R50" s="25">
        <f t="shared" si="64"/>
        <v>0</v>
      </c>
      <c r="S50" s="26"/>
      <c r="T50" s="25">
        <f t="shared" si="65"/>
        <v>0</v>
      </c>
      <c r="U50" s="26"/>
      <c r="V50" s="25">
        <f t="shared" si="66"/>
        <v>0</v>
      </c>
      <c r="W50" s="26"/>
      <c r="X50" s="25">
        <f t="shared" si="67"/>
        <v>0</v>
      </c>
      <c r="Y50" s="26"/>
      <c r="Z50" s="54">
        <f t="shared" si="68"/>
        <v>0</v>
      </c>
      <c r="AA50" s="58"/>
      <c r="AB50" s="55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ht="12.0" hidden="1" customHeight="1">
      <c r="A51" s="24" t="s">
        <v>51</v>
      </c>
      <c r="B51" s="25">
        <f t="shared" si="56"/>
        <v>0</v>
      </c>
      <c r="C51" s="26"/>
      <c r="D51" s="25">
        <f t="shared" si="57"/>
        <v>0</v>
      </c>
      <c r="E51" s="26"/>
      <c r="F51" s="25">
        <f t="shared" si="58"/>
        <v>0</v>
      </c>
      <c r="G51" s="26"/>
      <c r="H51" s="25">
        <f t="shared" si="59"/>
        <v>0</v>
      </c>
      <c r="I51" s="26"/>
      <c r="J51" s="25">
        <f t="shared" si="60"/>
        <v>0</v>
      </c>
      <c r="K51" s="26"/>
      <c r="L51" s="25">
        <f t="shared" si="61"/>
        <v>0</v>
      </c>
      <c r="M51" s="26"/>
      <c r="N51" s="25">
        <f t="shared" si="62"/>
        <v>0</v>
      </c>
      <c r="O51" s="26"/>
      <c r="P51" s="25">
        <f t="shared" si="63"/>
        <v>0</v>
      </c>
      <c r="Q51" s="26"/>
      <c r="R51" s="25">
        <f t="shared" si="64"/>
        <v>0</v>
      </c>
      <c r="S51" s="26"/>
      <c r="T51" s="25">
        <f t="shared" si="65"/>
        <v>0</v>
      </c>
      <c r="U51" s="26"/>
      <c r="V51" s="25">
        <f t="shared" si="66"/>
        <v>0</v>
      </c>
      <c r="W51" s="26"/>
      <c r="X51" s="25">
        <f t="shared" si="67"/>
        <v>0</v>
      </c>
      <c r="Y51" s="26"/>
      <c r="Z51" s="54">
        <f t="shared" si="68"/>
        <v>0</v>
      </c>
      <c r="AA51" s="58"/>
      <c r="AB51" s="55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ht="12.0" customHeight="1">
      <c r="A52" s="24" t="s">
        <v>52</v>
      </c>
      <c r="B52" s="25">
        <f t="shared" si="56"/>
        <v>0.0303986206</v>
      </c>
      <c r="C52" s="28">
        <v>61.0</v>
      </c>
      <c r="D52" s="25">
        <f t="shared" si="57"/>
        <v>0.02248706993</v>
      </c>
      <c r="E52" s="26">
        <v>61.0</v>
      </c>
      <c r="F52" s="25">
        <f t="shared" si="58"/>
        <v>0.02207529485</v>
      </c>
      <c r="G52" s="26">
        <v>61.0</v>
      </c>
      <c r="H52" s="25">
        <f t="shared" si="59"/>
        <v>0.02337460292</v>
      </c>
      <c r="I52" s="26">
        <v>61.0</v>
      </c>
      <c r="J52" s="25">
        <f t="shared" si="60"/>
        <v>0</v>
      </c>
      <c r="K52" s="26">
        <v>61.0</v>
      </c>
      <c r="L52" s="25">
        <f t="shared" si="61"/>
        <v>0</v>
      </c>
      <c r="M52" s="26">
        <v>61.0</v>
      </c>
      <c r="N52" s="25">
        <f t="shared" si="62"/>
        <v>0</v>
      </c>
      <c r="O52" s="26">
        <v>61.0</v>
      </c>
      <c r="P52" s="25">
        <f t="shared" si="63"/>
        <v>0.05591</v>
      </c>
      <c r="Q52" s="26">
        <v>55.91</v>
      </c>
      <c r="R52" s="25">
        <f t="shared" si="64"/>
        <v>0</v>
      </c>
      <c r="S52" s="26"/>
      <c r="T52" s="25">
        <f t="shared" si="65"/>
        <v>0</v>
      </c>
      <c r="U52" s="26"/>
      <c r="V52" s="25">
        <f t="shared" si="66"/>
        <v>0</v>
      </c>
      <c r="W52" s="26"/>
      <c r="X52" s="25">
        <f t="shared" si="67"/>
        <v>0</v>
      </c>
      <c r="Y52" s="26"/>
      <c r="Z52" s="54">
        <f t="shared" si="68"/>
        <v>482.91</v>
      </c>
      <c r="AA52" s="58"/>
      <c r="AB52" s="55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ht="12.0" customHeight="1">
      <c r="A53" s="51" t="s">
        <v>53</v>
      </c>
      <c r="B53" s="52">
        <f t="shared" si="56"/>
        <v>0</v>
      </c>
      <c r="C53" s="45">
        <f>SUM(C54:C58)</f>
        <v>0</v>
      </c>
      <c r="D53" s="52">
        <f t="shared" si="57"/>
        <v>0.02027522699</v>
      </c>
      <c r="E53" s="45">
        <f>SUM(E54:E58)</f>
        <v>55</v>
      </c>
      <c r="F53" s="52">
        <f t="shared" si="58"/>
        <v>0.01990395437</v>
      </c>
      <c r="G53" s="45">
        <f>SUM(G54:G58)</f>
        <v>55</v>
      </c>
      <c r="H53" s="52">
        <f t="shared" si="59"/>
        <v>0.02107546165</v>
      </c>
      <c r="I53" s="45">
        <f>SUM(I54:I58)</f>
        <v>55</v>
      </c>
      <c r="J53" s="52">
        <f t="shared" si="60"/>
        <v>0</v>
      </c>
      <c r="K53" s="45">
        <f>SUM(K54:K58)</f>
        <v>0</v>
      </c>
      <c r="L53" s="52">
        <f t="shared" si="61"/>
        <v>0</v>
      </c>
      <c r="M53" s="45">
        <f>SUM(M54:M58)</f>
        <v>0</v>
      </c>
      <c r="N53" s="52">
        <f t="shared" si="62"/>
        <v>0</v>
      </c>
      <c r="O53" s="45">
        <f>SUM(O54:O58)</f>
        <v>0</v>
      </c>
      <c r="P53" s="52">
        <f t="shared" si="63"/>
        <v>0</v>
      </c>
      <c r="Q53" s="45">
        <f>SUM(Q54:Q58)</f>
        <v>0</v>
      </c>
      <c r="R53" s="52">
        <f t="shared" si="64"/>
        <v>0</v>
      </c>
      <c r="S53" s="45">
        <f>SUM(S54:S58)</f>
        <v>0</v>
      </c>
      <c r="T53" s="52">
        <f t="shared" si="65"/>
        <v>0</v>
      </c>
      <c r="U53" s="45">
        <f>SUM(U54:U58)</f>
        <v>0</v>
      </c>
      <c r="V53" s="52">
        <f t="shared" si="66"/>
        <v>0</v>
      </c>
      <c r="W53" s="45">
        <f>SUM(W54:W58)</f>
        <v>0</v>
      </c>
      <c r="X53" s="52">
        <f t="shared" si="67"/>
        <v>0</v>
      </c>
      <c r="Y53" s="45">
        <f>SUM(Y54:Y58)</f>
        <v>0</v>
      </c>
      <c r="Z53" s="54">
        <f t="shared" si="68"/>
        <v>165</v>
      </c>
      <c r="AA53" s="65"/>
      <c r="AB53" s="56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ht="12.0" customHeight="1">
      <c r="A54" s="24" t="s">
        <v>54</v>
      </c>
      <c r="B54" s="25">
        <f t="shared" si="56"/>
        <v>0</v>
      </c>
      <c r="C54" s="28"/>
      <c r="D54" s="25">
        <f t="shared" si="57"/>
        <v>0.02027522699</v>
      </c>
      <c r="E54" s="70">
        <v>55.0</v>
      </c>
      <c r="F54" s="25">
        <f t="shared" si="58"/>
        <v>0.01990395437</v>
      </c>
      <c r="G54" s="26">
        <v>55.0</v>
      </c>
      <c r="H54" s="25">
        <f t="shared" si="59"/>
        <v>0.02107546165</v>
      </c>
      <c r="I54" s="26">
        <v>55.0</v>
      </c>
      <c r="J54" s="25">
        <f t="shared" si="60"/>
        <v>0</v>
      </c>
      <c r="K54" s="26"/>
      <c r="L54" s="25">
        <f t="shared" si="61"/>
        <v>0</v>
      </c>
      <c r="M54" s="26"/>
      <c r="N54" s="25">
        <f t="shared" si="62"/>
        <v>0</v>
      </c>
      <c r="O54" s="26"/>
      <c r="P54" s="25">
        <f t="shared" si="63"/>
        <v>0</v>
      </c>
      <c r="Q54" s="26"/>
      <c r="R54" s="25">
        <f t="shared" si="64"/>
        <v>0</v>
      </c>
      <c r="S54" s="26"/>
      <c r="T54" s="25">
        <f t="shared" si="65"/>
        <v>0</v>
      </c>
      <c r="U54" s="26"/>
      <c r="V54" s="25">
        <f t="shared" si="66"/>
        <v>0</v>
      </c>
      <c r="W54" s="26"/>
      <c r="X54" s="25">
        <f t="shared" si="67"/>
        <v>0</v>
      </c>
      <c r="Y54" s="26"/>
      <c r="Z54" s="54">
        <f t="shared" si="68"/>
        <v>165</v>
      </c>
      <c r="AA54" s="58"/>
      <c r="AB54" s="55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ht="12.0" hidden="1" customHeight="1">
      <c r="A55" s="24" t="s">
        <v>55</v>
      </c>
      <c r="B55" s="25">
        <f t="shared" si="56"/>
        <v>0</v>
      </c>
      <c r="C55" s="26"/>
      <c r="D55" s="25">
        <f t="shared" si="57"/>
        <v>0</v>
      </c>
      <c r="E55" s="26"/>
      <c r="F55" s="25">
        <f t="shared" si="58"/>
        <v>0</v>
      </c>
      <c r="G55" s="26"/>
      <c r="H55" s="25">
        <f t="shared" si="59"/>
        <v>0</v>
      </c>
      <c r="I55" s="26"/>
      <c r="J55" s="25">
        <f t="shared" si="60"/>
        <v>0</v>
      </c>
      <c r="K55" s="26"/>
      <c r="L55" s="25">
        <f t="shared" si="61"/>
        <v>0</v>
      </c>
      <c r="M55" s="26"/>
      <c r="N55" s="25">
        <f t="shared" si="62"/>
        <v>0</v>
      </c>
      <c r="O55" s="26"/>
      <c r="P55" s="25">
        <f t="shared" si="63"/>
        <v>0</v>
      </c>
      <c r="Q55" s="26"/>
      <c r="R55" s="25">
        <f t="shared" si="64"/>
        <v>0</v>
      </c>
      <c r="S55" s="26"/>
      <c r="T55" s="25">
        <f t="shared" si="65"/>
        <v>0</v>
      </c>
      <c r="U55" s="26"/>
      <c r="V55" s="25">
        <f t="shared" si="66"/>
        <v>0</v>
      </c>
      <c r="W55" s="26"/>
      <c r="X55" s="25">
        <f t="shared" si="67"/>
        <v>0</v>
      </c>
      <c r="Y55" s="26"/>
      <c r="Z55" s="54">
        <f t="shared" si="68"/>
        <v>0</v>
      </c>
      <c r="AA55" s="58"/>
      <c r="AB55" s="55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ht="12.0" hidden="1" customHeight="1">
      <c r="A56" s="24" t="s">
        <v>56</v>
      </c>
      <c r="B56" s="25">
        <f t="shared" si="56"/>
        <v>0</v>
      </c>
      <c r="C56" s="26"/>
      <c r="D56" s="25">
        <f t="shared" si="57"/>
        <v>0</v>
      </c>
      <c r="E56" s="26"/>
      <c r="F56" s="25">
        <f t="shared" si="58"/>
        <v>0</v>
      </c>
      <c r="G56" s="26"/>
      <c r="H56" s="25">
        <f t="shared" si="59"/>
        <v>0</v>
      </c>
      <c r="I56" s="26"/>
      <c r="J56" s="25">
        <f t="shared" si="60"/>
        <v>0</v>
      </c>
      <c r="K56" s="26"/>
      <c r="L56" s="25">
        <f t="shared" si="61"/>
        <v>0</v>
      </c>
      <c r="M56" s="26"/>
      <c r="N56" s="25">
        <f t="shared" si="62"/>
        <v>0</v>
      </c>
      <c r="O56" s="26"/>
      <c r="P56" s="25">
        <f t="shared" si="63"/>
        <v>0</v>
      </c>
      <c r="Q56" s="26"/>
      <c r="R56" s="25">
        <f t="shared" si="64"/>
        <v>0</v>
      </c>
      <c r="S56" s="26"/>
      <c r="T56" s="25">
        <f t="shared" si="65"/>
        <v>0</v>
      </c>
      <c r="U56" s="26"/>
      <c r="V56" s="25">
        <f t="shared" si="66"/>
        <v>0</v>
      </c>
      <c r="W56" s="26"/>
      <c r="X56" s="25">
        <f t="shared" si="67"/>
        <v>0</v>
      </c>
      <c r="Y56" s="26"/>
      <c r="Z56" s="54">
        <f t="shared" si="68"/>
        <v>0</v>
      </c>
      <c r="AA56" s="58"/>
      <c r="AB56" s="55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ht="12.0" customHeight="1">
      <c r="A57" s="24" t="s">
        <v>57</v>
      </c>
      <c r="B57" s="25">
        <f t="shared" si="56"/>
        <v>0</v>
      </c>
      <c r="C57" s="26"/>
      <c r="D57" s="25">
        <f t="shared" si="57"/>
        <v>0</v>
      </c>
      <c r="E57" s="26"/>
      <c r="F57" s="25">
        <f t="shared" si="58"/>
        <v>0</v>
      </c>
      <c r="G57" s="26"/>
      <c r="H57" s="25">
        <f t="shared" si="59"/>
        <v>0</v>
      </c>
      <c r="I57" s="26"/>
      <c r="J57" s="25">
        <f t="shared" si="60"/>
        <v>0</v>
      </c>
      <c r="K57" s="26"/>
      <c r="L57" s="25">
        <f t="shared" si="61"/>
        <v>0</v>
      </c>
      <c r="M57" s="26"/>
      <c r="N57" s="25">
        <f t="shared" si="62"/>
        <v>0</v>
      </c>
      <c r="O57" s="26"/>
      <c r="P57" s="25">
        <f t="shared" si="63"/>
        <v>0</v>
      </c>
      <c r="Q57" s="26"/>
      <c r="R57" s="25">
        <f t="shared" si="64"/>
        <v>0</v>
      </c>
      <c r="S57" s="26"/>
      <c r="T57" s="25">
        <f t="shared" si="65"/>
        <v>0</v>
      </c>
      <c r="U57" s="26"/>
      <c r="V57" s="25">
        <f t="shared" si="66"/>
        <v>0</v>
      </c>
      <c r="W57" s="26"/>
      <c r="X57" s="25">
        <f t="shared" si="67"/>
        <v>0</v>
      </c>
      <c r="Y57" s="26"/>
      <c r="Z57" s="54">
        <f t="shared" si="68"/>
        <v>0</v>
      </c>
      <c r="AA57" s="58"/>
      <c r="AB57" s="55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ht="12.0" customHeight="1">
      <c r="A58" s="24" t="s">
        <v>58</v>
      </c>
      <c r="B58" s="25">
        <f t="shared" si="56"/>
        <v>0</v>
      </c>
      <c r="C58" s="26"/>
      <c r="D58" s="25">
        <f t="shared" si="57"/>
        <v>0</v>
      </c>
      <c r="E58" s="26"/>
      <c r="F58" s="25">
        <f t="shared" si="58"/>
        <v>0</v>
      </c>
      <c r="G58" s="26"/>
      <c r="H58" s="25">
        <f t="shared" si="59"/>
        <v>0</v>
      </c>
      <c r="I58" s="26"/>
      <c r="J58" s="25">
        <f t="shared" si="60"/>
        <v>0</v>
      </c>
      <c r="K58" s="26"/>
      <c r="L58" s="25">
        <f t="shared" si="61"/>
        <v>0</v>
      </c>
      <c r="M58" s="26"/>
      <c r="N58" s="25">
        <f t="shared" si="62"/>
        <v>0</v>
      </c>
      <c r="O58" s="26"/>
      <c r="P58" s="25">
        <f t="shared" si="63"/>
        <v>0</v>
      </c>
      <c r="Q58" s="26"/>
      <c r="R58" s="25">
        <f t="shared" si="64"/>
        <v>0</v>
      </c>
      <c r="S58" s="26"/>
      <c r="T58" s="25">
        <f t="shared" si="65"/>
        <v>0</v>
      </c>
      <c r="U58" s="26"/>
      <c r="V58" s="25">
        <f t="shared" si="66"/>
        <v>0</v>
      </c>
      <c r="W58" s="26"/>
      <c r="X58" s="25">
        <f t="shared" si="67"/>
        <v>0</v>
      </c>
      <c r="Y58" s="26"/>
      <c r="Z58" s="54">
        <f t="shared" si="68"/>
        <v>0</v>
      </c>
      <c r="AA58" s="58"/>
      <c r="AB58" s="55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ht="12.0" customHeight="1">
      <c r="A59" s="51" t="s">
        <v>59</v>
      </c>
      <c r="B59" s="71">
        <f t="shared" si="56"/>
        <v>0.09518256614</v>
      </c>
      <c r="C59" s="45">
        <f>SUM(C60:C70)</f>
        <v>191</v>
      </c>
      <c r="D59" s="71">
        <f t="shared" si="57"/>
        <v>0.04165637545</v>
      </c>
      <c r="E59" s="45">
        <f>SUM(E60:E70)</f>
        <v>113</v>
      </c>
      <c r="F59" s="71">
        <f t="shared" si="58"/>
        <v>0.04089357898</v>
      </c>
      <c r="G59" s="45">
        <f>SUM(G60:G70)</f>
        <v>113</v>
      </c>
      <c r="H59" s="71">
        <f t="shared" si="59"/>
        <v>0.04330049393</v>
      </c>
      <c r="I59" s="45">
        <f>SUM(I60:I70)</f>
        <v>113</v>
      </c>
      <c r="J59" s="71">
        <f t="shared" si="60"/>
        <v>0</v>
      </c>
      <c r="K59" s="45">
        <f>SUM(K60:K70)</f>
        <v>209</v>
      </c>
      <c r="L59" s="71">
        <f t="shared" si="61"/>
        <v>0</v>
      </c>
      <c r="M59" s="45">
        <f>SUM(M60:M70)</f>
        <v>203</v>
      </c>
      <c r="N59" s="71">
        <f t="shared" si="62"/>
        <v>0</v>
      </c>
      <c r="O59" s="45">
        <f>SUM(O60:O70)</f>
        <v>203</v>
      </c>
      <c r="P59" s="71">
        <f t="shared" si="63"/>
        <v>0.203</v>
      </c>
      <c r="Q59" s="45">
        <f>SUM(Q60:Q70)</f>
        <v>203</v>
      </c>
      <c r="R59" s="71">
        <f t="shared" si="64"/>
        <v>0</v>
      </c>
      <c r="S59" s="45">
        <f>SUM(S60:S70)</f>
        <v>209</v>
      </c>
      <c r="T59" s="71">
        <f t="shared" si="65"/>
        <v>0</v>
      </c>
      <c r="U59" s="45">
        <f>SUM(U60:U70)</f>
        <v>113</v>
      </c>
      <c r="V59" s="71">
        <f t="shared" si="66"/>
        <v>0.313</v>
      </c>
      <c r="W59" s="45">
        <f>SUM(W60:W70)</f>
        <v>313</v>
      </c>
      <c r="X59" s="71">
        <f t="shared" si="67"/>
        <v>0</v>
      </c>
      <c r="Y59" s="45">
        <f>SUM(Y60:Y70)</f>
        <v>113</v>
      </c>
      <c r="Z59" s="54">
        <f t="shared" si="68"/>
        <v>2096</v>
      </c>
      <c r="AA59" s="65"/>
      <c r="AB59" s="50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ht="12.0" hidden="1" customHeight="1">
      <c r="A60" s="24" t="s">
        <v>60</v>
      </c>
      <c r="B60" s="25">
        <f t="shared" si="56"/>
        <v>0</v>
      </c>
      <c r="C60" s="26"/>
      <c r="D60" s="25">
        <f t="shared" si="57"/>
        <v>0</v>
      </c>
      <c r="E60" s="26"/>
      <c r="F60" s="25">
        <f t="shared" si="58"/>
        <v>0</v>
      </c>
      <c r="G60" s="26"/>
      <c r="H60" s="25">
        <f t="shared" si="59"/>
        <v>0</v>
      </c>
      <c r="I60" s="26"/>
      <c r="J60" s="25">
        <f t="shared" si="60"/>
        <v>0</v>
      </c>
      <c r="K60" s="26"/>
      <c r="L60" s="25">
        <f t="shared" si="61"/>
        <v>0</v>
      </c>
      <c r="M60" s="26"/>
      <c r="N60" s="25">
        <f t="shared" si="62"/>
        <v>0</v>
      </c>
      <c r="O60" s="26"/>
      <c r="P60" s="25">
        <f t="shared" si="63"/>
        <v>0</v>
      </c>
      <c r="Q60" s="26"/>
      <c r="R60" s="25">
        <f t="shared" si="64"/>
        <v>0</v>
      </c>
      <c r="S60" s="26"/>
      <c r="T60" s="25">
        <f t="shared" si="65"/>
        <v>0</v>
      </c>
      <c r="U60" s="26"/>
      <c r="V60" s="25">
        <f t="shared" si="66"/>
        <v>0</v>
      </c>
      <c r="W60" s="26"/>
      <c r="X60" s="25">
        <f t="shared" si="67"/>
        <v>0</v>
      </c>
      <c r="Y60" s="26"/>
      <c r="Z60" s="54">
        <f t="shared" si="68"/>
        <v>0</v>
      </c>
      <c r="AA60" s="58"/>
      <c r="AB60" s="55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ht="12.0" customHeight="1">
      <c r="A61" s="24" t="s">
        <v>61</v>
      </c>
      <c r="B61" s="25">
        <f t="shared" si="56"/>
        <v>0</v>
      </c>
      <c r="C61" s="26"/>
      <c r="D61" s="25">
        <f t="shared" si="57"/>
        <v>0</v>
      </c>
      <c r="E61" s="26"/>
      <c r="F61" s="25">
        <f t="shared" si="58"/>
        <v>0</v>
      </c>
      <c r="G61" s="26"/>
      <c r="H61" s="25">
        <f t="shared" si="59"/>
        <v>0</v>
      </c>
      <c r="I61" s="26"/>
      <c r="J61" s="25">
        <f t="shared" si="60"/>
        <v>0</v>
      </c>
      <c r="K61" s="26"/>
      <c r="L61" s="25">
        <f t="shared" si="61"/>
        <v>0</v>
      </c>
      <c r="M61" s="26">
        <f>270/3</f>
        <v>90</v>
      </c>
      <c r="N61" s="25">
        <f t="shared" si="62"/>
        <v>0</v>
      </c>
      <c r="O61" s="26">
        <f>270/3</f>
        <v>90</v>
      </c>
      <c r="P61" s="25">
        <f t="shared" si="63"/>
        <v>0.09</v>
      </c>
      <c r="Q61" s="26">
        <f>270/3</f>
        <v>90</v>
      </c>
      <c r="R61" s="25">
        <f t="shared" si="64"/>
        <v>0</v>
      </c>
      <c r="S61" s="26"/>
      <c r="T61" s="25">
        <f t="shared" si="65"/>
        <v>0</v>
      </c>
      <c r="U61" s="26"/>
      <c r="V61" s="25">
        <f t="shared" si="66"/>
        <v>0</v>
      </c>
      <c r="W61" s="26"/>
      <c r="X61" s="25">
        <f t="shared" si="67"/>
        <v>0</v>
      </c>
      <c r="Y61" s="26"/>
      <c r="Z61" s="54">
        <f t="shared" si="68"/>
        <v>270</v>
      </c>
      <c r="AA61" s="58"/>
      <c r="AB61" s="55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ht="12.0" customHeight="1">
      <c r="A62" s="24" t="s">
        <v>62</v>
      </c>
      <c r="B62" s="25">
        <f t="shared" si="56"/>
        <v>0.04784045209</v>
      </c>
      <c r="C62" s="26">
        <v>96.0</v>
      </c>
      <c r="D62" s="25">
        <f t="shared" si="57"/>
        <v>0</v>
      </c>
      <c r="E62" s="26"/>
      <c r="F62" s="25">
        <f t="shared" si="58"/>
        <v>0</v>
      </c>
      <c r="G62" s="26"/>
      <c r="H62" s="25">
        <f t="shared" si="59"/>
        <v>0</v>
      </c>
      <c r="I62" s="26"/>
      <c r="J62" s="25">
        <f t="shared" si="60"/>
        <v>0</v>
      </c>
      <c r="K62" s="26">
        <v>96.0</v>
      </c>
      <c r="L62" s="25">
        <f t="shared" si="61"/>
        <v>0</v>
      </c>
      <c r="M62" s="26"/>
      <c r="N62" s="25">
        <f t="shared" si="62"/>
        <v>0</v>
      </c>
      <c r="O62" s="26"/>
      <c r="P62" s="25">
        <f t="shared" si="63"/>
        <v>0</v>
      </c>
      <c r="Q62" s="26"/>
      <c r="R62" s="25">
        <f t="shared" si="64"/>
        <v>0</v>
      </c>
      <c r="S62" s="26">
        <v>96.0</v>
      </c>
      <c r="T62" s="25">
        <f t="shared" si="65"/>
        <v>0</v>
      </c>
      <c r="U62" s="26"/>
      <c r="V62" s="25">
        <f t="shared" si="66"/>
        <v>0</v>
      </c>
      <c r="W62" s="26"/>
      <c r="X62" s="25">
        <f t="shared" si="67"/>
        <v>0</v>
      </c>
      <c r="Y62" s="26"/>
      <c r="Z62" s="54">
        <f t="shared" si="68"/>
        <v>288</v>
      </c>
      <c r="AA62" s="58"/>
      <c r="AB62" s="55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12.0" customHeight="1">
      <c r="A63" s="24" t="s">
        <v>63</v>
      </c>
      <c r="B63" s="25">
        <f t="shared" si="56"/>
        <v>0.01993352171</v>
      </c>
      <c r="C63" s="26">
        <v>40.0</v>
      </c>
      <c r="D63" s="25">
        <f t="shared" si="57"/>
        <v>0.01474561963</v>
      </c>
      <c r="E63" s="26">
        <v>40.0</v>
      </c>
      <c r="F63" s="25">
        <f t="shared" si="58"/>
        <v>0.01447560318</v>
      </c>
      <c r="G63" s="26">
        <v>40.0</v>
      </c>
      <c r="H63" s="25">
        <f t="shared" si="59"/>
        <v>0.01532760847</v>
      </c>
      <c r="I63" s="26">
        <v>40.0</v>
      </c>
      <c r="J63" s="25">
        <f t="shared" si="60"/>
        <v>0</v>
      </c>
      <c r="K63" s="26">
        <v>40.0</v>
      </c>
      <c r="L63" s="25">
        <f t="shared" si="61"/>
        <v>0</v>
      </c>
      <c r="M63" s="26">
        <v>40.0</v>
      </c>
      <c r="N63" s="25">
        <f t="shared" si="62"/>
        <v>0</v>
      </c>
      <c r="O63" s="26">
        <v>40.0</v>
      </c>
      <c r="P63" s="25">
        <f t="shared" si="63"/>
        <v>0.04</v>
      </c>
      <c r="Q63" s="26">
        <v>40.0</v>
      </c>
      <c r="R63" s="25">
        <f t="shared" si="64"/>
        <v>0</v>
      </c>
      <c r="S63" s="26">
        <v>40.0</v>
      </c>
      <c r="T63" s="25">
        <f t="shared" si="65"/>
        <v>0</v>
      </c>
      <c r="U63" s="26">
        <v>40.0</v>
      </c>
      <c r="V63" s="25">
        <f t="shared" si="66"/>
        <v>0.04</v>
      </c>
      <c r="W63" s="26">
        <v>40.0</v>
      </c>
      <c r="X63" s="25">
        <f t="shared" si="67"/>
        <v>0</v>
      </c>
      <c r="Y63" s="26">
        <v>40.0</v>
      </c>
      <c r="Z63" s="54">
        <f t="shared" si="68"/>
        <v>480</v>
      </c>
      <c r="AA63" s="58"/>
      <c r="AB63" s="55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ht="12.0" customHeight="1">
      <c r="A64" s="24" t="s">
        <v>64</v>
      </c>
      <c r="B64" s="25">
        <f t="shared" si="56"/>
        <v>0.01993352171</v>
      </c>
      <c r="C64" s="26">
        <v>40.0</v>
      </c>
      <c r="D64" s="25">
        <f t="shared" si="57"/>
        <v>0.01474561963</v>
      </c>
      <c r="E64" s="26">
        <v>40.0</v>
      </c>
      <c r="F64" s="25">
        <f t="shared" si="58"/>
        <v>0.01447560318</v>
      </c>
      <c r="G64" s="26">
        <v>40.0</v>
      </c>
      <c r="H64" s="25">
        <f t="shared" si="59"/>
        <v>0.01532760847</v>
      </c>
      <c r="I64" s="26">
        <v>40.0</v>
      </c>
      <c r="J64" s="25">
        <f t="shared" si="60"/>
        <v>0</v>
      </c>
      <c r="K64" s="26">
        <v>40.0</v>
      </c>
      <c r="L64" s="25">
        <f t="shared" si="61"/>
        <v>0</v>
      </c>
      <c r="M64" s="26">
        <v>40.0</v>
      </c>
      <c r="N64" s="25">
        <f t="shared" si="62"/>
        <v>0</v>
      </c>
      <c r="O64" s="26">
        <v>40.0</v>
      </c>
      <c r="P64" s="25">
        <f t="shared" si="63"/>
        <v>0.04</v>
      </c>
      <c r="Q64" s="26">
        <v>40.0</v>
      </c>
      <c r="R64" s="25">
        <f t="shared" si="64"/>
        <v>0</v>
      </c>
      <c r="S64" s="26">
        <v>40.0</v>
      </c>
      <c r="T64" s="25">
        <f t="shared" si="65"/>
        <v>0</v>
      </c>
      <c r="U64" s="26">
        <v>40.0</v>
      </c>
      <c r="V64" s="25">
        <f t="shared" si="66"/>
        <v>0.04</v>
      </c>
      <c r="W64" s="26">
        <v>40.0</v>
      </c>
      <c r="X64" s="25">
        <f t="shared" si="67"/>
        <v>0</v>
      </c>
      <c r="Y64" s="26">
        <v>40.0</v>
      </c>
      <c r="Z64" s="54">
        <f t="shared" si="68"/>
        <v>480</v>
      </c>
      <c r="AA64" s="58"/>
      <c r="AB64" s="55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ht="12.0" customHeight="1">
      <c r="A65" s="24" t="s">
        <v>65</v>
      </c>
      <c r="B65" s="25">
        <f t="shared" si="56"/>
        <v>0</v>
      </c>
      <c r="C65" s="28"/>
      <c r="D65" s="25">
        <f t="shared" si="57"/>
        <v>0.006635528833</v>
      </c>
      <c r="E65" s="28">
        <v>18.0</v>
      </c>
      <c r="F65" s="25">
        <f t="shared" si="58"/>
        <v>0.006514021431</v>
      </c>
      <c r="G65" s="28">
        <v>18.0</v>
      </c>
      <c r="H65" s="25">
        <f t="shared" si="59"/>
        <v>0.006897423812</v>
      </c>
      <c r="I65" s="28">
        <v>18.0</v>
      </c>
      <c r="J65" s="25">
        <f t="shared" si="60"/>
        <v>0</v>
      </c>
      <c r="K65" s="28">
        <v>18.0</v>
      </c>
      <c r="L65" s="25">
        <f t="shared" si="61"/>
        <v>0</v>
      </c>
      <c r="M65" s="28">
        <v>18.0</v>
      </c>
      <c r="N65" s="25">
        <f t="shared" si="62"/>
        <v>0</v>
      </c>
      <c r="O65" s="28">
        <v>18.0</v>
      </c>
      <c r="P65" s="25">
        <f t="shared" si="63"/>
        <v>0.018</v>
      </c>
      <c r="Q65" s="28">
        <v>18.0</v>
      </c>
      <c r="R65" s="25">
        <f t="shared" si="64"/>
        <v>0</v>
      </c>
      <c r="S65" s="28">
        <v>18.0</v>
      </c>
      <c r="T65" s="25">
        <f t="shared" si="65"/>
        <v>0</v>
      </c>
      <c r="U65" s="28">
        <v>18.0</v>
      </c>
      <c r="V65" s="25">
        <f t="shared" si="66"/>
        <v>0.018</v>
      </c>
      <c r="W65" s="28">
        <v>18.0</v>
      </c>
      <c r="X65" s="25">
        <f t="shared" si="67"/>
        <v>0</v>
      </c>
      <c r="Y65" s="28">
        <v>18.0</v>
      </c>
      <c r="Z65" s="54">
        <f t="shared" si="68"/>
        <v>198</v>
      </c>
      <c r="AA65" s="58"/>
      <c r="AB65" s="55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ht="12.0" customHeight="1">
      <c r="A66" s="24" t="s">
        <v>66</v>
      </c>
      <c r="B66" s="25">
        <f t="shared" si="56"/>
        <v>0</v>
      </c>
      <c r="C66" s="26"/>
      <c r="D66" s="25">
        <f t="shared" si="57"/>
        <v>0</v>
      </c>
      <c r="E66" s="26"/>
      <c r="F66" s="25">
        <f t="shared" si="58"/>
        <v>0</v>
      </c>
      <c r="G66" s="26"/>
      <c r="H66" s="25">
        <f t="shared" si="59"/>
        <v>0</v>
      </c>
      <c r="I66" s="26"/>
      <c r="J66" s="25">
        <f t="shared" si="60"/>
        <v>0</v>
      </c>
      <c r="K66" s="26"/>
      <c r="L66" s="25">
        <f t="shared" si="61"/>
        <v>0</v>
      </c>
      <c r="M66" s="26"/>
      <c r="N66" s="25">
        <f t="shared" si="62"/>
        <v>0</v>
      </c>
      <c r="O66" s="26"/>
      <c r="P66" s="25">
        <f t="shared" si="63"/>
        <v>0</v>
      </c>
      <c r="Q66" s="26"/>
      <c r="R66" s="25">
        <f t="shared" si="64"/>
        <v>0</v>
      </c>
      <c r="S66" s="26"/>
      <c r="T66" s="25">
        <f t="shared" si="65"/>
        <v>0</v>
      </c>
      <c r="U66" s="26"/>
      <c r="V66" s="25">
        <f t="shared" si="66"/>
        <v>0.2</v>
      </c>
      <c r="W66" s="26">
        <f>200</f>
        <v>200</v>
      </c>
      <c r="X66" s="25">
        <f t="shared" si="67"/>
        <v>0</v>
      </c>
      <c r="Y66" s="26"/>
      <c r="Z66" s="54">
        <f t="shared" si="68"/>
        <v>200</v>
      </c>
      <c r="AA66" s="58"/>
      <c r="AB66" s="55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ht="12.0" hidden="1" customHeight="1">
      <c r="A67" s="24" t="s">
        <v>67</v>
      </c>
      <c r="B67" s="25">
        <f t="shared" si="56"/>
        <v>0</v>
      </c>
      <c r="C67" s="26"/>
      <c r="D67" s="25">
        <f t="shared" si="57"/>
        <v>0</v>
      </c>
      <c r="E67" s="26"/>
      <c r="F67" s="25">
        <f t="shared" si="58"/>
        <v>0</v>
      </c>
      <c r="G67" s="26"/>
      <c r="H67" s="25">
        <f t="shared" si="59"/>
        <v>0</v>
      </c>
      <c r="I67" s="26"/>
      <c r="J67" s="25">
        <f t="shared" si="60"/>
        <v>0</v>
      </c>
      <c r="K67" s="26"/>
      <c r="L67" s="25">
        <f t="shared" si="61"/>
        <v>0</v>
      </c>
      <c r="M67" s="26"/>
      <c r="N67" s="25">
        <f t="shared" si="62"/>
        <v>0</v>
      </c>
      <c r="O67" s="26"/>
      <c r="P67" s="25">
        <f t="shared" si="63"/>
        <v>0</v>
      </c>
      <c r="Q67" s="26"/>
      <c r="R67" s="25">
        <f t="shared" si="64"/>
        <v>0</v>
      </c>
      <c r="S67" s="26"/>
      <c r="T67" s="25">
        <f t="shared" si="65"/>
        <v>0</v>
      </c>
      <c r="U67" s="26"/>
      <c r="V67" s="25">
        <f t="shared" si="66"/>
        <v>0</v>
      </c>
      <c r="W67" s="26"/>
      <c r="X67" s="25">
        <f t="shared" si="67"/>
        <v>0</v>
      </c>
      <c r="Y67" s="26"/>
      <c r="Z67" s="54">
        <f t="shared" si="68"/>
        <v>0</v>
      </c>
      <c r="AA67" s="58"/>
      <c r="AB67" s="55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ht="12.0" customHeight="1">
      <c r="A68" s="24" t="s">
        <v>68</v>
      </c>
      <c r="B68" s="25">
        <f t="shared" si="56"/>
        <v>0.007475070639</v>
      </c>
      <c r="C68" s="26">
        <v>15.0</v>
      </c>
      <c r="D68" s="25">
        <f t="shared" si="57"/>
        <v>0.005529607361</v>
      </c>
      <c r="E68" s="26">
        <v>15.0</v>
      </c>
      <c r="F68" s="25">
        <f t="shared" si="58"/>
        <v>0.005428351193</v>
      </c>
      <c r="G68" s="26">
        <v>15.0</v>
      </c>
      <c r="H68" s="25">
        <f t="shared" si="59"/>
        <v>0.005747853177</v>
      </c>
      <c r="I68" s="26">
        <v>15.0</v>
      </c>
      <c r="J68" s="25">
        <f t="shared" si="60"/>
        <v>0</v>
      </c>
      <c r="K68" s="26">
        <v>15.0</v>
      </c>
      <c r="L68" s="25">
        <f t="shared" si="61"/>
        <v>0</v>
      </c>
      <c r="M68" s="26">
        <v>15.0</v>
      </c>
      <c r="N68" s="25">
        <f t="shared" si="62"/>
        <v>0</v>
      </c>
      <c r="O68" s="26">
        <v>15.0</v>
      </c>
      <c r="P68" s="25">
        <f t="shared" si="63"/>
        <v>0.015</v>
      </c>
      <c r="Q68" s="26">
        <v>15.0</v>
      </c>
      <c r="R68" s="25">
        <f t="shared" si="64"/>
        <v>0</v>
      </c>
      <c r="S68" s="26">
        <v>15.0</v>
      </c>
      <c r="T68" s="25">
        <f t="shared" si="65"/>
        <v>0</v>
      </c>
      <c r="U68" s="26">
        <v>15.0</v>
      </c>
      <c r="V68" s="25">
        <f t="shared" si="66"/>
        <v>0.015</v>
      </c>
      <c r="W68" s="26">
        <v>15.0</v>
      </c>
      <c r="X68" s="25">
        <f t="shared" si="67"/>
        <v>0</v>
      </c>
      <c r="Y68" s="26">
        <v>15.0</v>
      </c>
      <c r="Z68" s="54">
        <f t="shared" si="68"/>
        <v>180</v>
      </c>
      <c r="AA68" s="58"/>
      <c r="AB68" s="55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ht="12.0" hidden="1" customHeight="1">
      <c r="A69" s="24" t="s">
        <v>69</v>
      </c>
      <c r="B69" s="25">
        <f t="shared" si="56"/>
        <v>0</v>
      </c>
      <c r="C69" s="26"/>
      <c r="D69" s="25">
        <f t="shared" si="57"/>
        <v>0</v>
      </c>
      <c r="E69" s="26"/>
      <c r="F69" s="25">
        <f t="shared" si="58"/>
        <v>0</v>
      </c>
      <c r="G69" s="26"/>
      <c r="H69" s="25">
        <f t="shared" si="59"/>
        <v>0</v>
      </c>
      <c r="I69" s="26"/>
      <c r="J69" s="25">
        <f t="shared" si="60"/>
        <v>0</v>
      </c>
      <c r="K69" s="26"/>
      <c r="L69" s="25">
        <f t="shared" si="61"/>
        <v>0</v>
      </c>
      <c r="M69" s="26"/>
      <c r="N69" s="25">
        <f t="shared" si="62"/>
        <v>0</v>
      </c>
      <c r="O69" s="26"/>
      <c r="P69" s="25">
        <f t="shared" si="63"/>
        <v>0</v>
      </c>
      <c r="Q69" s="26"/>
      <c r="R69" s="25">
        <f t="shared" si="64"/>
        <v>0</v>
      </c>
      <c r="S69" s="26"/>
      <c r="T69" s="25">
        <f t="shared" si="65"/>
        <v>0</v>
      </c>
      <c r="U69" s="26"/>
      <c r="V69" s="25">
        <f t="shared" si="66"/>
        <v>0</v>
      </c>
      <c r="W69" s="26"/>
      <c r="X69" s="25">
        <f t="shared" si="67"/>
        <v>0</v>
      </c>
      <c r="Y69" s="26"/>
      <c r="Z69" s="54">
        <f t="shared" si="68"/>
        <v>0</v>
      </c>
      <c r="AA69" s="58"/>
      <c r="AB69" s="55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ht="12.0" hidden="1" customHeight="1">
      <c r="A70" s="24" t="s">
        <v>70</v>
      </c>
      <c r="B70" s="25">
        <f t="shared" si="56"/>
        <v>0</v>
      </c>
      <c r="C70" s="26"/>
      <c r="D70" s="25">
        <f t="shared" si="57"/>
        <v>0</v>
      </c>
      <c r="E70" s="26"/>
      <c r="F70" s="25">
        <f t="shared" si="58"/>
        <v>0</v>
      </c>
      <c r="G70" s="26"/>
      <c r="H70" s="25">
        <f t="shared" si="59"/>
        <v>0</v>
      </c>
      <c r="I70" s="26"/>
      <c r="J70" s="25">
        <f t="shared" si="60"/>
        <v>0</v>
      </c>
      <c r="K70" s="26"/>
      <c r="L70" s="25">
        <f t="shared" si="61"/>
        <v>0</v>
      </c>
      <c r="M70" s="26"/>
      <c r="N70" s="25">
        <f t="shared" si="62"/>
        <v>0</v>
      </c>
      <c r="O70" s="26"/>
      <c r="P70" s="25">
        <f t="shared" si="63"/>
        <v>0</v>
      </c>
      <c r="Q70" s="26"/>
      <c r="R70" s="25">
        <f t="shared" si="64"/>
        <v>0</v>
      </c>
      <c r="S70" s="26"/>
      <c r="T70" s="25">
        <f t="shared" si="65"/>
        <v>0</v>
      </c>
      <c r="U70" s="26"/>
      <c r="V70" s="25">
        <f t="shared" si="66"/>
        <v>0</v>
      </c>
      <c r="W70" s="26"/>
      <c r="X70" s="25">
        <f t="shared" si="67"/>
        <v>0</v>
      </c>
      <c r="Y70" s="26"/>
      <c r="Z70" s="54">
        <f t="shared" si="68"/>
        <v>0</v>
      </c>
      <c r="AA70" s="58"/>
      <c r="AB70" s="55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ht="12.0" customHeight="1">
      <c r="A71" s="51" t="s">
        <v>71</v>
      </c>
      <c r="B71" s="71">
        <f t="shared" si="56"/>
        <v>0.1317929704</v>
      </c>
      <c r="C71" s="45">
        <f>SUM(C72:C80)</f>
        <v>264.465</v>
      </c>
      <c r="D71" s="71">
        <f t="shared" si="57"/>
        <v>0.1601613908</v>
      </c>
      <c r="E71" s="45">
        <f>SUM(E72:E80)</f>
        <v>434.465</v>
      </c>
      <c r="F71" s="71">
        <f t="shared" si="58"/>
        <v>0.1934175813</v>
      </c>
      <c r="G71" s="45">
        <f>SUM(G72:G80)</f>
        <v>534.465</v>
      </c>
      <c r="H71" s="71">
        <f t="shared" si="59"/>
        <v>0.1664827354</v>
      </c>
      <c r="I71" s="45">
        <f>SUM(I72:I80)</f>
        <v>434.465</v>
      </c>
      <c r="J71" s="71">
        <f t="shared" si="60"/>
        <v>0</v>
      </c>
      <c r="K71" s="45">
        <f>SUM(K72:K80)</f>
        <v>200</v>
      </c>
      <c r="L71" s="71">
        <f t="shared" si="61"/>
        <v>0</v>
      </c>
      <c r="M71" s="45">
        <f>SUM(M72:M80)</f>
        <v>400</v>
      </c>
      <c r="N71" s="71">
        <f t="shared" si="62"/>
        <v>0</v>
      </c>
      <c r="O71" s="45">
        <f>SUM(O72:O80)</f>
        <v>220</v>
      </c>
      <c r="P71" s="71">
        <f t="shared" si="63"/>
        <v>0.4</v>
      </c>
      <c r="Q71" s="45">
        <f>SUM(Q72:Q80)</f>
        <v>400</v>
      </c>
      <c r="R71" s="71">
        <f t="shared" si="64"/>
        <v>0</v>
      </c>
      <c r="S71" s="45">
        <f>SUM(S72:S80)</f>
        <v>100</v>
      </c>
      <c r="T71" s="71">
        <f t="shared" si="65"/>
        <v>0</v>
      </c>
      <c r="U71" s="45">
        <f>SUM(U72:U80)</f>
        <v>520</v>
      </c>
      <c r="V71" s="71">
        <f t="shared" si="66"/>
        <v>0.1</v>
      </c>
      <c r="W71" s="45">
        <f>SUM(W72:W80)</f>
        <v>100</v>
      </c>
      <c r="X71" s="71">
        <f t="shared" si="67"/>
        <v>0</v>
      </c>
      <c r="Y71" s="45">
        <f>SUM(Y72:Y80)</f>
        <v>400</v>
      </c>
      <c r="Z71" s="54">
        <f t="shared" si="68"/>
        <v>4007.86</v>
      </c>
      <c r="AA71" s="65"/>
      <c r="AB71" s="50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ht="12.0" hidden="1" customHeight="1">
      <c r="A72" s="24" t="s">
        <v>72</v>
      </c>
      <c r="B72" s="25">
        <f t="shared" si="56"/>
        <v>0</v>
      </c>
      <c r="C72" s="26"/>
      <c r="D72" s="25">
        <f t="shared" si="57"/>
        <v>0</v>
      </c>
      <c r="E72" s="26"/>
      <c r="F72" s="25">
        <f t="shared" si="58"/>
        <v>0</v>
      </c>
      <c r="G72" s="26"/>
      <c r="H72" s="25">
        <f t="shared" si="59"/>
        <v>0</v>
      </c>
      <c r="I72" s="26"/>
      <c r="J72" s="25">
        <f t="shared" si="60"/>
        <v>0</v>
      </c>
      <c r="K72" s="26"/>
      <c r="L72" s="25">
        <f t="shared" si="61"/>
        <v>0</v>
      </c>
      <c r="M72" s="26"/>
      <c r="N72" s="25">
        <f t="shared" si="62"/>
        <v>0</v>
      </c>
      <c r="O72" s="26"/>
      <c r="P72" s="25">
        <f t="shared" si="63"/>
        <v>0</v>
      </c>
      <c r="Q72" s="26"/>
      <c r="R72" s="25">
        <f t="shared" si="64"/>
        <v>0</v>
      </c>
      <c r="S72" s="26"/>
      <c r="T72" s="25">
        <f t="shared" si="65"/>
        <v>0</v>
      </c>
      <c r="U72" s="26"/>
      <c r="V72" s="25">
        <f t="shared" si="66"/>
        <v>0</v>
      </c>
      <c r="W72" s="26"/>
      <c r="X72" s="25">
        <f t="shared" si="67"/>
        <v>0</v>
      </c>
      <c r="Y72" s="26"/>
      <c r="Z72" s="54">
        <f t="shared" si="68"/>
        <v>0</v>
      </c>
      <c r="AA72" s="65"/>
      <c r="AB72" s="50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12.0" customHeight="1">
      <c r="A73" s="24" t="s">
        <v>73</v>
      </c>
      <c r="B73" s="25">
        <f t="shared" si="56"/>
        <v>0.01993352171</v>
      </c>
      <c r="C73" s="26">
        <v>40.0</v>
      </c>
      <c r="D73" s="25">
        <f t="shared" si="57"/>
        <v>0.01474561963</v>
      </c>
      <c r="E73" s="26">
        <v>40.0</v>
      </c>
      <c r="F73" s="25">
        <f t="shared" si="58"/>
        <v>0.01447560318</v>
      </c>
      <c r="G73" s="26">
        <v>40.0</v>
      </c>
      <c r="H73" s="25">
        <f t="shared" si="59"/>
        <v>0.01532760847</v>
      </c>
      <c r="I73" s="26">
        <v>40.0</v>
      </c>
      <c r="J73" s="25">
        <f t="shared" si="60"/>
        <v>0</v>
      </c>
      <c r="K73" s="26">
        <v>30.0</v>
      </c>
      <c r="L73" s="25">
        <f t="shared" si="61"/>
        <v>0</v>
      </c>
      <c r="M73" s="26">
        <v>30.0</v>
      </c>
      <c r="N73" s="25">
        <f t="shared" si="62"/>
        <v>0</v>
      </c>
      <c r="O73" s="26">
        <v>30.0</v>
      </c>
      <c r="P73" s="25">
        <f t="shared" si="63"/>
        <v>0.03</v>
      </c>
      <c r="Q73" s="26">
        <v>30.0</v>
      </c>
      <c r="R73" s="25">
        <f t="shared" si="64"/>
        <v>0</v>
      </c>
      <c r="S73" s="26">
        <v>30.0</v>
      </c>
      <c r="T73" s="25">
        <f t="shared" si="65"/>
        <v>0</v>
      </c>
      <c r="U73" s="26">
        <v>30.0</v>
      </c>
      <c r="V73" s="25">
        <f t="shared" si="66"/>
        <v>0.03</v>
      </c>
      <c r="W73" s="26">
        <v>30.0</v>
      </c>
      <c r="X73" s="25">
        <f t="shared" si="67"/>
        <v>0</v>
      </c>
      <c r="Y73" s="26">
        <v>30.0</v>
      </c>
      <c r="Z73" s="54">
        <f t="shared" si="68"/>
        <v>400</v>
      </c>
      <c r="AA73" s="58"/>
      <c r="AB73" s="55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ht="12.0" customHeight="1">
      <c r="A74" s="24" t="s">
        <v>74</v>
      </c>
      <c r="B74" s="25">
        <f t="shared" si="56"/>
        <v>0</v>
      </c>
      <c r="C74" s="26"/>
      <c r="D74" s="25">
        <f t="shared" si="57"/>
        <v>0</v>
      </c>
      <c r="E74" s="26"/>
      <c r="F74" s="25">
        <f t="shared" si="58"/>
        <v>0.03618900795</v>
      </c>
      <c r="G74" s="26">
        <v>100.0</v>
      </c>
      <c r="H74" s="25">
        <f t="shared" si="59"/>
        <v>0</v>
      </c>
      <c r="I74" s="26"/>
      <c r="J74" s="25">
        <f t="shared" si="60"/>
        <v>0</v>
      </c>
      <c r="K74" s="26"/>
      <c r="L74" s="25">
        <f t="shared" si="61"/>
        <v>0</v>
      </c>
      <c r="M74" s="26">
        <v>100.0</v>
      </c>
      <c r="N74" s="25">
        <f t="shared" si="62"/>
        <v>0</v>
      </c>
      <c r="O74" s="26"/>
      <c r="P74" s="25">
        <f t="shared" si="63"/>
        <v>0.1</v>
      </c>
      <c r="Q74" s="26">
        <v>100.0</v>
      </c>
      <c r="R74" s="25">
        <f t="shared" si="64"/>
        <v>0</v>
      </c>
      <c r="S74" s="26"/>
      <c r="T74" s="25">
        <f t="shared" si="65"/>
        <v>0</v>
      </c>
      <c r="U74" s="26">
        <v>100.0</v>
      </c>
      <c r="V74" s="25">
        <f t="shared" si="66"/>
        <v>0</v>
      </c>
      <c r="W74" s="26"/>
      <c r="X74" s="25">
        <f t="shared" si="67"/>
        <v>0</v>
      </c>
      <c r="Y74" s="26">
        <v>100.0</v>
      </c>
      <c r="Z74" s="54">
        <f t="shared" si="68"/>
        <v>500</v>
      </c>
      <c r="AA74" s="58"/>
      <c r="AB74" s="55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ht="12.0" customHeight="1">
      <c r="A75" s="24" t="s">
        <v>75</v>
      </c>
      <c r="B75" s="25">
        <f t="shared" si="56"/>
        <v>0</v>
      </c>
      <c r="C75" s="28"/>
      <c r="D75" s="25">
        <f t="shared" si="57"/>
        <v>0</v>
      </c>
      <c r="E75" s="26"/>
      <c r="F75" s="25">
        <f t="shared" si="58"/>
        <v>0</v>
      </c>
      <c r="G75" s="26"/>
      <c r="H75" s="25">
        <f t="shared" si="59"/>
        <v>0</v>
      </c>
      <c r="I75" s="26"/>
      <c r="J75" s="25">
        <f t="shared" si="60"/>
        <v>0</v>
      </c>
      <c r="K75" s="26"/>
      <c r="L75" s="25">
        <f t="shared" si="61"/>
        <v>0</v>
      </c>
      <c r="M75" s="26"/>
      <c r="N75" s="25">
        <f t="shared" si="62"/>
        <v>0</v>
      </c>
      <c r="O75" s="26">
        <v>120.0</v>
      </c>
      <c r="P75" s="25">
        <f t="shared" si="63"/>
        <v>0</v>
      </c>
      <c r="Q75" s="26"/>
      <c r="R75" s="25">
        <f t="shared" si="64"/>
        <v>0</v>
      </c>
      <c r="S75" s="26"/>
      <c r="T75" s="25">
        <f t="shared" si="65"/>
        <v>0</v>
      </c>
      <c r="U75" s="26">
        <v>120.0</v>
      </c>
      <c r="V75" s="25">
        <f t="shared" si="66"/>
        <v>0</v>
      </c>
      <c r="W75" s="26"/>
      <c r="X75" s="25">
        <f t="shared" si="67"/>
        <v>0</v>
      </c>
      <c r="Y75" s="26"/>
      <c r="Z75" s="54">
        <f t="shared" si="68"/>
        <v>240</v>
      </c>
      <c r="AA75" s="58"/>
      <c r="AB75" s="55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12.0" customHeight="1">
      <c r="A76" s="24" t="s">
        <v>76</v>
      </c>
      <c r="B76" s="25">
        <f t="shared" si="56"/>
        <v>0</v>
      </c>
      <c r="C76" s="28"/>
      <c r="D76" s="25">
        <f t="shared" si="57"/>
        <v>0.03686404907</v>
      </c>
      <c r="E76" s="28">
        <v>100.0</v>
      </c>
      <c r="F76" s="25">
        <f t="shared" si="58"/>
        <v>0.03618900795</v>
      </c>
      <c r="G76" s="28">
        <v>100.0</v>
      </c>
      <c r="H76" s="25">
        <f t="shared" si="59"/>
        <v>0.03831902118</v>
      </c>
      <c r="I76" s="28">
        <v>100.0</v>
      </c>
      <c r="J76" s="25">
        <f t="shared" si="60"/>
        <v>0</v>
      </c>
      <c r="K76" s="28">
        <v>100.0</v>
      </c>
      <c r="L76" s="25">
        <f t="shared" si="61"/>
        <v>0</v>
      </c>
      <c r="M76" s="26">
        <v>200.0</v>
      </c>
      <c r="N76" s="25">
        <f t="shared" si="62"/>
        <v>0</v>
      </c>
      <c r="O76" s="26"/>
      <c r="P76" s="25">
        <f t="shared" si="63"/>
        <v>0.2</v>
      </c>
      <c r="Q76" s="26">
        <v>200.0</v>
      </c>
      <c r="R76" s="25">
        <f t="shared" si="64"/>
        <v>0</v>
      </c>
      <c r="S76" s="26"/>
      <c r="T76" s="25">
        <f t="shared" si="65"/>
        <v>0</v>
      </c>
      <c r="U76" s="26">
        <v>200.0</v>
      </c>
      <c r="V76" s="25">
        <f t="shared" si="66"/>
        <v>0</v>
      </c>
      <c r="W76" s="26"/>
      <c r="X76" s="25">
        <f t="shared" si="67"/>
        <v>0</v>
      </c>
      <c r="Y76" s="26">
        <v>200.0</v>
      </c>
      <c r="Z76" s="54">
        <f t="shared" si="68"/>
        <v>1200</v>
      </c>
      <c r="AA76" s="58"/>
      <c r="AB76" s="55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ht="12.0" customHeight="1">
      <c r="A77" s="24" t="s">
        <v>77</v>
      </c>
      <c r="B77" s="25">
        <f t="shared" si="56"/>
        <v>0</v>
      </c>
      <c r="C77" s="26"/>
      <c r="D77" s="25">
        <f t="shared" si="57"/>
        <v>0.01290241718</v>
      </c>
      <c r="E77" s="70">
        <v>35.0</v>
      </c>
      <c r="F77" s="25">
        <f t="shared" si="58"/>
        <v>0.01266615278</v>
      </c>
      <c r="G77" s="26">
        <v>35.0</v>
      </c>
      <c r="H77" s="25">
        <f t="shared" si="59"/>
        <v>0.01341165741</v>
      </c>
      <c r="I77" s="26">
        <v>35.0</v>
      </c>
      <c r="J77" s="25">
        <f t="shared" si="60"/>
        <v>0</v>
      </c>
      <c r="K77" s="26">
        <v>35.0</v>
      </c>
      <c r="L77" s="25">
        <f t="shared" si="61"/>
        <v>0</v>
      </c>
      <c r="M77" s="26">
        <v>35.0</v>
      </c>
      <c r="N77" s="25">
        <f t="shared" si="62"/>
        <v>0</v>
      </c>
      <c r="O77" s="26">
        <v>35.0</v>
      </c>
      <c r="P77" s="25">
        <f t="shared" si="63"/>
        <v>0.035</v>
      </c>
      <c r="Q77" s="26">
        <v>35.0</v>
      </c>
      <c r="R77" s="25">
        <f t="shared" si="64"/>
        <v>0</v>
      </c>
      <c r="S77" s="26">
        <v>35.0</v>
      </c>
      <c r="T77" s="25">
        <f t="shared" si="65"/>
        <v>0</v>
      </c>
      <c r="U77" s="26">
        <v>35.0</v>
      </c>
      <c r="V77" s="25">
        <f t="shared" si="66"/>
        <v>0.035</v>
      </c>
      <c r="W77" s="26">
        <v>35.0</v>
      </c>
      <c r="X77" s="25">
        <f t="shared" si="67"/>
        <v>0</v>
      </c>
      <c r="Y77" s="26">
        <v>35.0</v>
      </c>
      <c r="Z77" s="54">
        <f t="shared" si="68"/>
        <v>385</v>
      </c>
      <c r="AA77" s="58"/>
      <c r="AB77" s="55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ht="12.0" hidden="1" customHeight="1">
      <c r="A78" s="24" t="s">
        <v>78</v>
      </c>
      <c r="B78" s="25">
        <f t="shared" si="56"/>
        <v>0</v>
      </c>
      <c r="C78" s="26"/>
      <c r="D78" s="25">
        <f t="shared" si="57"/>
        <v>0</v>
      </c>
      <c r="E78" s="26"/>
      <c r="F78" s="25">
        <f t="shared" si="58"/>
        <v>0</v>
      </c>
      <c r="G78" s="26"/>
      <c r="H78" s="25">
        <f t="shared" si="59"/>
        <v>0</v>
      </c>
      <c r="I78" s="26"/>
      <c r="J78" s="25">
        <f t="shared" si="60"/>
        <v>0</v>
      </c>
      <c r="K78" s="26"/>
      <c r="L78" s="25">
        <f t="shared" si="61"/>
        <v>0</v>
      </c>
      <c r="M78" s="26"/>
      <c r="N78" s="25">
        <f t="shared" si="62"/>
        <v>0</v>
      </c>
      <c r="O78" s="26"/>
      <c r="P78" s="25">
        <f t="shared" si="63"/>
        <v>0</v>
      </c>
      <c r="Q78" s="26"/>
      <c r="R78" s="25">
        <f t="shared" si="64"/>
        <v>0</v>
      </c>
      <c r="S78" s="26"/>
      <c r="T78" s="25">
        <f t="shared" si="65"/>
        <v>0</v>
      </c>
      <c r="U78" s="26"/>
      <c r="V78" s="25">
        <f t="shared" si="66"/>
        <v>0</v>
      </c>
      <c r="W78" s="26"/>
      <c r="X78" s="25">
        <f t="shared" si="67"/>
        <v>0</v>
      </c>
      <c r="Y78" s="26"/>
      <c r="Z78" s="54">
        <f t="shared" si="68"/>
        <v>0</v>
      </c>
      <c r="AA78" s="58"/>
      <c r="AB78" s="55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ht="12.0" customHeight="1">
      <c r="A79" s="24" t="s">
        <v>79</v>
      </c>
      <c r="B79" s="25">
        <f t="shared" si="56"/>
        <v>0</v>
      </c>
      <c r="C79" s="28"/>
      <c r="D79" s="25">
        <f t="shared" si="57"/>
        <v>0.01290241718</v>
      </c>
      <c r="E79" s="70">
        <v>35.0</v>
      </c>
      <c r="F79" s="25">
        <f t="shared" si="58"/>
        <v>0.01266615278</v>
      </c>
      <c r="G79" s="26">
        <v>35.0</v>
      </c>
      <c r="H79" s="25">
        <f t="shared" si="59"/>
        <v>0.01341165741</v>
      </c>
      <c r="I79" s="26">
        <v>35.0</v>
      </c>
      <c r="J79" s="25">
        <f t="shared" si="60"/>
        <v>0</v>
      </c>
      <c r="K79" s="26">
        <v>35.0</v>
      </c>
      <c r="L79" s="25">
        <f t="shared" si="61"/>
        <v>0</v>
      </c>
      <c r="M79" s="26">
        <v>35.0</v>
      </c>
      <c r="N79" s="25">
        <f t="shared" si="62"/>
        <v>0</v>
      </c>
      <c r="O79" s="26">
        <v>35.0</v>
      </c>
      <c r="P79" s="25">
        <f t="shared" si="63"/>
        <v>0.035</v>
      </c>
      <c r="Q79" s="26">
        <v>35.0</v>
      </c>
      <c r="R79" s="25">
        <f t="shared" si="64"/>
        <v>0</v>
      </c>
      <c r="S79" s="26">
        <v>35.0</v>
      </c>
      <c r="T79" s="25">
        <f t="shared" si="65"/>
        <v>0</v>
      </c>
      <c r="U79" s="26">
        <v>35.0</v>
      </c>
      <c r="V79" s="25">
        <f t="shared" si="66"/>
        <v>0.035</v>
      </c>
      <c r="W79" s="26">
        <v>35.0</v>
      </c>
      <c r="X79" s="25">
        <f t="shared" si="67"/>
        <v>0</v>
      </c>
      <c r="Y79" s="26">
        <v>35.0</v>
      </c>
      <c r="Z79" s="54">
        <f t="shared" si="68"/>
        <v>385</v>
      </c>
      <c r="AA79" s="58"/>
      <c r="AB79" s="55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ht="12.0" customHeight="1">
      <c r="A80" s="24" t="s">
        <v>80</v>
      </c>
      <c r="B80" s="25">
        <f t="shared" si="56"/>
        <v>0.1118594487</v>
      </c>
      <c r="C80" s="26">
        <f>448.93/2</f>
        <v>224.465</v>
      </c>
      <c r="D80" s="25">
        <f t="shared" si="57"/>
        <v>0.08274688775</v>
      </c>
      <c r="E80" s="26">
        <f>448.93/2</f>
        <v>224.465</v>
      </c>
      <c r="F80" s="25">
        <f t="shared" si="58"/>
        <v>0.0812316567</v>
      </c>
      <c r="G80" s="26">
        <f>E80</f>
        <v>224.465</v>
      </c>
      <c r="H80" s="25">
        <f t="shared" si="59"/>
        <v>0.08601279089</v>
      </c>
      <c r="I80" s="26">
        <f>G80</f>
        <v>224.465</v>
      </c>
      <c r="J80" s="25">
        <f t="shared" si="60"/>
        <v>0</v>
      </c>
      <c r="K80" s="26"/>
      <c r="L80" s="25">
        <f t="shared" si="61"/>
        <v>0</v>
      </c>
      <c r="M80" s="26"/>
      <c r="N80" s="25">
        <f t="shared" si="62"/>
        <v>0</v>
      </c>
      <c r="O80" s="26"/>
      <c r="P80" s="25">
        <f t="shared" si="63"/>
        <v>0</v>
      </c>
      <c r="Q80" s="26"/>
      <c r="R80" s="25">
        <f t="shared" si="64"/>
        <v>0</v>
      </c>
      <c r="S80" s="26"/>
      <c r="T80" s="25">
        <f t="shared" si="65"/>
        <v>0</v>
      </c>
      <c r="U80" s="26"/>
      <c r="V80" s="25">
        <f t="shared" si="66"/>
        <v>0</v>
      </c>
      <c r="W80" s="26"/>
      <c r="X80" s="25">
        <f t="shared" si="67"/>
        <v>0</v>
      </c>
      <c r="Y80" s="26"/>
      <c r="Z80" s="54">
        <f t="shared" si="68"/>
        <v>897.86</v>
      </c>
      <c r="AA80" s="58"/>
      <c r="AB80" s="55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ht="12.0" customHeight="1">
      <c r="A81" s="72" t="s">
        <v>81</v>
      </c>
      <c r="B81" s="73">
        <f t="shared" si="56"/>
        <v>0.983108832</v>
      </c>
      <c r="C81" s="74">
        <f>C31+C46+C53+C59+C71</f>
        <v>1972.775</v>
      </c>
      <c r="D81" s="73">
        <f t="shared" si="57"/>
        <v>0.8402330545</v>
      </c>
      <c r="E81" s="74">
        <f>E31+E46+E53+E59+E71</f>
        <v>2279.275</v>
      </c>
      <c r="F81" s="73">
        <f t="shared" si="58"/>
        <v>0.8610360189</v>
      </c>
      <c r="G81" s="74">
        <f>G31+G46+G53+G59+G71</f>
        <v>2379.275</v>
      </c>
      <c r="H81" s="73">
        <f t="shared" si="59"/>
        <v>0.8714799189</v>
      </c>
      <c r="I81" s="74">
        <f>I31+I46+I53+I59+I71</f>
        <v>2274.275</v>
      </c>
      <c r="J81" s="73">
        <f t="shared" si="60"/>
        <v>0</v>
      </c>
      <c r="K81" s="74">
        <f>K31+K46+K53+K59+K71</f>
        <v>2080.81</v>
      </c>
      <c r="L81" s="73">
        <f t="shared" si="61"/>
        <v>0</v>
      </c>
      <c r="M81" s="74">
        <f>M31+M46+M53+M59+M71</f>
        <v>2274.81</v>
      </c>
      <c r="N81" s="73">
        <f t="shared" si="62"/>
        <v>0</v>
      </c>
      <c r="O81" s="74">
        <f>O31+O46+O53+O59+O71</f>
        <v>2094.81</v>
      </c>
      <c r="P81" s="73">
        <f t="shared" si="63"/>
        <v>2.26972</v>
      </c>
      <c r="Q81" s="74">
        <f>Q31+Q46+Q53+Q59+Q71</f>
        <v>2269.72</v>
      </c>
      <c r="R81" s="73">
        <f t="shared" si="64"/>
        <v>0</v>
      </c>
      <c r="S81" s="74">
        <f>S31+S46+S53+S59+S71</f>
        <v>1919.81</v>
      </c>
      <c r="T81" s="73">
        <f t="shared" si="65"/>
        <v>0</v>
      </c>
      <c r="U81" s="74">
        <f>U31+U46+U53+U59+U71</f>
        <v>2237.31</v>
      </c>
      <c r="V81" s="73">
        <f t="shared" si="66"/>
        <v>2.01081</v>
      </c>
      <c r="W81" s="74">
        <f>W31+W46+W53+W59+W71</f>
        <v>2010.81</v>
      </c>
      <c r="X81" s="73">
        <f t="shared" si="67"/>
        <v>0</v>
      </c>
      <c r="Y81" s="74">
        <f>Y31+Y46+Y53+Y59+Y71</f>
        <v>2123.81</v>
      </c>
      <c r="Z81" s="62">
        <f t="shared" si="68"/>
        <v>25917.49</v>
      </c>
      <c r="AA81" s="58"/>
      <c r="AB81" s="55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ht="12.0" customHeight="1">
      <c r="A82" s="75"/>
      <c r="B82" s="76"/>
      <c r="C82" s="42"/>
      <c r="D82" s="76"/>
      <c r="E82" s="42"/>
      <c r="F82" s="76"/>
      <c r="G82" s="42"/>
      <c r="H82" s="76"/>
      <c r="I82" s="42"/>
      <c r="J82" s="76"/>
      <c r="K82" s="42"/>
      <c r="L82" s="76"/>
      <c r="M82" s="42"/>
      <c r="N82" s="76"/>
      <c r="O82" s="42"/>
      <c r="P82" s="76"/>
      <c r="Q82" s="42"/>
      <c r="R82" s="76"/>
      <c r="S82" s="42"/>
      <c r="T82" s="76"/>
      <c r="U82" s="42"/>
      <c r="V82" s="76"/>
      <c r="W82" s="42"/>
      <c r="X82" s="76"/>
      <c r="Y82" s="42"/>
      <c r="Z82" s="77"/>
      <c r="AA82" s="50"/>
      <c r="AB82" s="50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ht="12.0" customHeight="1">
      <c r="A83" s="72" t="s">
        <v>82</v>
      </c>
      <c r="B83" s="78">
        <f t="shared" ref="B83:B87" si="69">IFERROR(C83/C$20,0)</f>
        <v>0</v>
      </c>
      <c r="C83" s="79">
        <f>SUM(C84:C86)</f>
        <v>0</v>
      </c>
      <c r="D83" s="78">
        <f t="shared" ref="D83:D87" si="70">IFERROR(E83/E$20,0)</f>
        <v>0.02211842944</v>
      </c>
      <c r="E83" s="79">
        <f>SUM(E84:E86)</f>
        <v>60</v>
      </c>
      <c r="F83" s="78">
        <f t="shared" ref="F83:F87" si="71">IFERROR(G83/G$20,0)</f>
        <v>0.02171340477</v>
      </c>
      <c r="G83" s="79">
        <f>SUM(G84:G86)</f>
        <v>60</v>
      </c>
      <c r="H83" s="78">
        <f t="shared" ref="H83:H87" si="72">IFERROR(I83/I$20,0)</f>
        <v>0.02299141271</v>
      </c>
      <c r="I83" s="79">
        <f>SUM(I84:I86)</f>
        <v>60</v>
      </c>
      <c r="J83" s="78">
        <f t="shared" ref="J83:J87" si="73">IFERROR(K83/K$20,0)</f>
        <v>0</v>
      </c>
      <c r="K83" s="79">
        <f>SUM(K84:K86)</f>
        <v>60</v>
      </c>
      <c r="L83" s="78">
        <f t="shared" ref="L83:L87" si="74">IFERROR(M83/M$20,0)</f>
        <v>0</v>
      </c>
      <c r="M83" s="79">
        <f>SUM(M84:M86)</f>
        <v>60</v>
      </c>
      <c r="N83" s="78">
        <f t="shared" ref="N83:N87" si="75">IFERROR(O83/O$20,0)</f>
        <v>0</v>
      </c>
      <c r="O83" s="79">
        <f>SUM(O84:O86)</f>
        <v>60</v>
      </c>
      <c r="P83" s="78">
        <f t="shared" ref="P83:P87" si="76">IFERROR(Q83/Q$20,0)</f>
        <v>0.06</v>
      </c>
      <c r="Q83" s="79">
        <f>SUM(Q84:Q86)</f>
        <v>60</v>
      </c>
      <c r="R83" s="78">
        <f t="shared" ref="R83:R87" si="77">IFERROR(S83/S$20,0)</f>
        <v>0</v>
      </c>
      <c r="S83" s="79">
        <f>SUM(S84:S86)</f>
        <v>60</v>
      </c>
      <c r="T83" s="78">
        <f t="shared" ref="T83:T87" si="78">IFERROR(U83/U$20,0)</f>
        <v>0</v>
      </c>
      <c r="U83" s="79">
        <f>SUM(U84:U86)</f>
        <v>60</v>
      </c>
      <c r="V83" s="78">
        <f t="shared" ref="V83:V87" si="79">IFERROR(W83/W$20,0)</f>
        <v>0.06</v>
      </c>
      <c r="W83" s="79">
        <f>SUM(W84:W86)</f>
        <v>60</v>
      </c>
      <c r="X83" s="78">
        <f t="shared" ref="X83:X87" si="80">IFERROR(Y83/Y$20,0)</f>
        <v>0</v>
      </c>
      <c r="Y83" s="79">
        <f>SUM(Y84:Y86)</f>
        <v>60</v>
      </c>
      <c r="Z83" s="54">
        <f t="shared" ref="Z83:Z87" si="81">C83+E83+G83+I83+K83+M83+O83+Q83+S83+U83+W83+Y83</f>
        <v>660</v>
      </c>
      <c r="AA83" s="50"/>
      <c r="AB83" s="50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ht="12.0" hidden="1" customHeight="1">
      <c r="A84" s="24" t="s">
        <v>83</v>
      </c>
      <c r="B84" s="25">
        <f t="shared" si="69"/>
        <v>0</v>
      </c>
      <c r="C84" s="26"/>
      <c r="D84" s="25">
        <f t="shared" si="70"/>
        <v>0</v>
      </c>
      <c r="E84" s="26"/>
      <c r="F84" s="25">
        <f t="shared" si="71"/>
        <v>0</v>
      </c>
      <c r="G84" s="26"/>
      <c r="H84" s="25">
        <f t="shared" si="72"/>
        <v>0</v>
      </c>
      <c r="I84" s="26"/>
      <c r="J84" s="25">
        <f t="shared" si="73"/>
        <v>0</v>
      </c>
      <c r="K84" s="26"/>
      <c r="L84" s="25">
        <f t="shared" si="74"/>
        <v>0</v>
      </c>
      <c r="M84" s="26"/>
      <c r="N84" s="25">
        <f t="shared" si="75"/>
        <v>0</v>
      </c>
      <c r="O84" s="26"/>
      <c r="P84" s="25">
        <f t="shared" si="76"/>
        <v>0</v>
      </c>
      <c r="Q84" s="26"/>
      <c r="R84" s="25">
        <f t="shared" si="77"/>
        <v>0</v>
      </c>
      <c r="S84" s="26"/>
      <c r="T84" s="25">
        <f t="shared" si="78"/>
        <v>0</v>
      </c>
      <c r="U84" s="26"/>
      <c r="V84" s="25">
        <f t="shared" si="79"/>
        <v>0</v>
      </c>
      <c r="W84" s="26"/>
      <c r="X84" s="25">
        <f t="shared" si="80"/>
        <v>0</v>
      </c>
      <c r="Y84" s="26"/>
      <c r="Z84" s="54">
        <f t="shared" si="81"/>
        <v>0</v>
      </c>
      <c r="AA84" s="58"/>
      <c r="AB84" s="55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ht="12.0" customHeight="1">
      <c r="A85" s="24" t="s">
        <v>84</v>
      </c>
      <c r="B85" s="25">
        <f t="shared" si="69"/>
        <v>0</v>
      </c>
      <c r="C85" s="28"/>
      <c r="D85" s="25">
        <f t="shared" si="70"/>
        <v>0.02211842944</v>
      </c>
      <c r="E85" s="70">
        <v>60.0</v>
      </c>
      <c r="F85" s="25">
        <f t="shared" si="71"/>
        <v>0.02171340477</v>
      </c>
      <c r="G85" s="26">
        <v>60.0</v>
      </c>
      <c r="H85" s="25">
        <f t="shared" si="72"/>
        <v>0.02299141271</v>
      </c>
      <c r="I85" s="26">
        <v>60.0</v>
      </c>
      <c r="J85" s="25">
        <f t="shared" si="73"/>
        <v>0</v>
      </c>
      <c r="K85" s="26">
        <v>60.0</v>
      </c>
      <c r="L85" s="25">
        <f t="shared" si="74"/>
        <v>0</v>
      </c>
      <c r="M85" s="26">
        <v>60.0</v>
      </c>
      <c r="N85" s="25">
        <f t="shared" si="75"/>
        <v>0</v>
      </c>
      <c r="O85" s="26">
        <v>60.0</v>
      </c>
      <c r="P85" s="25">
        <f t="shared" si="76"/>
        <v>0.06</v>
      </c>
      <c r="Q85" s="26">
        <v>60.0</v>
      </c>
      <c r="R85" s="25">
        <f t="shared" si="77"/>
        <v>0</v>
      </c>
      <c r="S85" s="26">
        <v>60.0</v>
      </c>
      <c r="T85" s="25">
        <f t="shared" si="78"/>
        <v>0</v>
      </c>
      <c r="U85" s="26">
        <v>60.0</v>
      </c>
      <c r="V85" s="25">
        <f t="shared" si="79"/>
        <v>0.06</v>
      </c>
      <c r="W85" s="26">
        <v>60.0</v>
      </c>
      <c r="X85" s="25">
        <f t="shared" si="80"/>
        <v>0</v>
      </c>
      <c r="Y85" s="26">
        <v>60.0</v>
      </c>
      <c r="Z85" s="54">
        <f t="shared" si="81"/>
        <v>660</v>
      </c>
      <c r="AA85" s="58"/>
      <c r="AB85" s="55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ht="12.0" hidden="1" customHeight="1">
      <c r="A86" s="24" t="s">
        <v>85</v>
      </c>
      <c r="B86" s="25">
        <f t="shared" si="69"/>
        <v>0</v>
      </c>
      <c r="C86" s="26"/>
      <c r="D86" s="25">
        <f t="shared" si="70"/>
        <v>0</v>
      </c>
      <c r="E86" s="26"/>
      <c r="F86" s="25">
        <f t="shared" si="71"/>
        <v>0</v>
      </c>
      <c r="G86" s="26"/>
      <c r="H86" s="25">
        <f t="shared" si="72"/>
        <v>0</v>
      </c>
      <c r="I86" s="26"/>
      <c r="J86" s="25">
        <f t="shared" si="73"/>
        <v>0</v>
      </c>
      <c r="K86" s="26"/>
      <c r="L86" s="25">
        <f t="shared" si="74"/>
        <v>0</v>
      </c>
      <c r="M86" s="26"/>
      <c r="N86" s="25">
        <f t="shared" si="75"/>
        <v>0</v>
      </c>
      <c r="O86" s="26"/>
      <c r="P86" s="25">
        <f t="shared" si="76"/>
        <v>0</v>
      </c>
      <c r="Q86" s="26"/>
      <c r="R86" s="25">
        <f t="shared" si="77"/>
        <v>0</v>
      </c>
      <c r="S86" s="26"/>
      <c r="T86" s="25">
        <f t="shared" si="78"/>
        <v>0</v>
      </c>
      <c r="U86" s="26"/>
      <c r="V86" s="25">
        <f t="shared" si="79"/>
        <v>0</v>
      </c>
      <c r="W86" s="26"/>
      <c r="X86" s="25">
        <f t="shared" si="80"/>
        <v>0</v>
      </c>
      <c r="Y86" s="26"/>
      <c r="Z86" s="54">
        <f t="shared" si="81"/>
        <v>0</v>
      </c>
      <c r="AA86" s="65"/>
      <c r="AB86" s="50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ht="12.0" customHeight="1">
      <c r="A87" s="72" t="s">
        <v>86</v>
      </c>
      <c r="B87" s="73">
        <f t="shared" si="69"/>
        <v>0</v>
      </c>
      <c r="C87" s="74">
        <f>C83</f>
        <v>0</v>
      </c>
      <c r="D87" s="73">
        <f t="shared" si="70"/>
        <v>0.02211842944</v>
      </c>
      <c r="E87" s="74">
        <f>E83</f>
        <v>60</v>
      </c>
      <c r="F87" s="73">
        <f t="shared" si="71"/>
        <v>0.02171340477</v>
      </c>
      <c r="G87" s="74">
        <f>G83</f>
        <v>60</v>
      </c>
      <c r="H87" s="73">
        <f t="shared" si="72"/>
        <v>0.02299141271</v>
      </c>
      <c r="I87" s="74">
        <f>I83</f>
        <v>60</v>
      </c>
      <c r="J87" s="73">
        <f t="shared" si="73"/>
        <v>0</v>
      </c>
      <c r="K87" s="74">
        <f>K83</f>
        <v>60</v>
      </c>
      <c r="L87" s="73">
        <f t="shared" si="74"/>
        <v>0</v>
      </c>
      <c r="M87" s="74">
        <f>M83</f>
        <v>60</v>
      </c>
      <c r="N87" s="73">
        <f t="shared" si="75"/>
        <v>0</v>
      </c>
      <c r="O87" s="74">
        <f>O83</f>
        <v>60</v>
      </c>
      <c r="P87" s="73">
        <f t="shared" si="76"/>
        <v>0.06</v>
      </c>
      <c r="Q87" s="74">
        <f>Q83</f>
        <v>60</v>
      </c>
      <c r="R87" s="73">
        <f t="shared" si="77"/>
        <v>0</v>
      </c>
      <c r="S87" s="74">
        <f>S83</f>
        <v>60</v>
      </c>
      <c r="T87" s="73">
        <f t="shared" si="78"/>
        <v>0</v>
      </c>
      <c r="U87" s="74">
        <f>U83</f>
        <v>60</v>
      </c>
      <c r="V87" s="73">
        <f t="shared" si="79"/>
        <v>0.06</v>
      </c>
      <c r="W87" s="74">
        <f>W83</f>
        <v>60</v>
      </c>
      <c r="X87" s="73">
        <f t="shared" si="80"/>
        <v>0</v>
      </c>
      <c r="Y87" s="74">
        <f>Y83</f>
        <v>60</v>
      </c>
      <c r="Z87" s="79">
        <f t="shared" si="81"/>
        <v>660</v>
      </c>
      <c r="AA87" s="58"/>
      <c r="AB87" s="5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ht="12.0" customHeight="1">
      <c r="A88" s="75"/>
      <c r="B88" s="76"/>
      <c r="C88" s="42"/>
      <c r="D88" s="76"/>
      <c r="E88" s="42"/>
      <c r="F88" s="76"/>
      <c r="G88" s="42"/>
      <c r="H88" s="76"/>
      <c r="I88" s="42"/>
      <c r="J88" s="76"/>
      <c r="K88" s="42"/>
      <c r="L88" s="76"/>
      <c r="M88" s="42"/>
      <c r="N88" s="76"/>
      <c r="O88" s="42"/>
      <c r="P88" s="76"/>
      <c r="Q88" s="42"/>
      <c r="R88" s="76"/>
      <c r="S88" s="42"/>
      <c r="T88" s="76"/>
      <c r="U88" s="42"/>
      <c r="V88" s="76"/>
      <c r="W88" s="42"/>
      <c r="X88" s="76"/>
      <c r="Y88" s="42"/>
      <c r="Z88" s="80"/>
      <c r="AA88" s="55"/>
      <c r="AB88" s="5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ht="12.0" customHeight="1">
      <c r="A89" s="51" t="s">
        <v>87</v>
      </c>
      <c r="B89" s="71">
        <f t="shared" ref="B89:B111" si="82">IFERROR(C89/C$20,0)</f>
        <v>0</v>
      </c>
      <c r="C89" s="45">
        <f>SUM(C90:C95)</f>
        <v>0</v>
      </c>
      <c r="D89" s="71">
        <f t="shared" ref="D89:D111" si="83">IFERROR(E89/E$20,0)</f>
        <v>0.02949123926</v>
      </c>
      <c r="E89" s="45">
        <f>SUM(E90:E95)</f>
        <v>80</v>
      </c>
      <c r="F89" s="71">
        <f t="shared" ref="F89:F111" si="84">IFERROR(G89/G$20,0)</f>
        <v>0.02895120636</v>
      </c>
      <c r="G89" s="45">
        <f>SUM(G90:G95)</f>
        <v>80</v>
      </c>
      <c r="H89" s="71">
        <f t="shared" ref="H89:H111" si="85">IFERROR(I89/I$20,0)</f>
        <v>0.03065521694</v>
      </c>
      <c r="I89" s="45">
        <f>SUM(I90:I95)</f>
        <v>80</v>
      </c>
      <c r="J89" s="71">
        <f t="shared" ref="J89:J111" si="86">IFERROR(K89/K$20,0)</f>
        <v>0</v>
      </c>
      <c r="K89" s="45">
        <f>SUM(K90:K95)</f>
        <v>0</v>
      </c>
      <c r="L89" s="71">
        <f t="shared" ref="L89:L111" si="87">IFERROR(M89/M$20,0)</f>
        <v>0</v>
      </c>
      <c r="M89" s="45">
        <f>SUM(M90:M95)</f>
        <v>0</v>
      </c>
      <c r="N89" s="71">
        <f t="shared" ref="N89:N111" si="88">IFERROR(O89/O$20,0)</f>
        <v>0</v>
      </c>
      <c r="O89" s="45">
        <f>SUM(O90:O95)</f>
        <v>0</v>
      </c>
      <c r="P89" s="71">
        <f t="shared" ref="P89:P111" si="89">IFERROR(Q89/Q$20,0)</f>
        <v>0</v>
      </c>
      <c r="Q89" s="45">
        <f>SUM(Q90:Q95)</f>
        <v>0</v>
      </c>
      <c r="R89" s="71">
        <f t="shared" ref="R89:R111" si="90">IFERROR(S89/S$20,0)</f>
        <v>0</v>
      </c>
      <c r="S89" s="45">
        <f>SUM(S90:S95)</f>
        <v>0</v>
      </c>
      <c r="T89" s="71">
        <f t="shared" ref="T89:T111" si="91">IFERROR(U89/U$20,0)</f>
        <v>0</v>
      </c>
      <c r="U89" s="45">
        <f>SUM(U90:U95)</f>
        <v>0</v>
      </c>
      <c r="V89" s="71">
        <f t="shared" ref="V89:V111" si="92">IFERROR(W89/W$20,0)</f>
        <v>0</v>
      </c>
      <c r="W89" s="45">
        <f>SUM(W90:W95)</f>
        <v>0</v>
      </c>
      <c r="X89" s="71">
        <f t="shared" ref="X89:X111" si="93">IFERROR(Y89/Y$20,0)</f>
        <v>0</v>
      </c>
      <c r="Y89" s="45">
        <f>SUM(Y90:Y95)</f>
        <v>0</v>
      </c>
      <c r="Z89" s="54">
        <f t="shared" ref="Z89:Z111" si="94">C89+E89+G89+I89+K89+M89+O89+Q89+S89+U89+W89+Y89</f>
        <v>240</v>
      </c>
      <c r="AA89" s="65"/>
      <c r="AB89" s="50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ht="12.0" customHeight="1">
      <c r="A90" s="24" t="s">
        <v>88</v>
      </c>
      <c r="B90" s="25">
        <f t="shared" si="82"/>
        <v>0</v>
      </c>
      <c r="C90" s="28"/>
      <c r="D90" s="25">
        <f t="shared" si="83"/>
        <v>0.02949123926</v>
      </c>
      <c r="E90" s="70">
        <v>80.0</v>
      </c>
      <c r="F90" s="25">
        <f t="shared" si="84"/>
        <v>0.02895120636</v>
      </c>
      <c r="G90" s="26">
        <f>E90</f>
        <v>80</v>
      </c>
      <c r="H90" s="25">
        <f t="shared" si="85"/>
        <v>0.03065521694</v>
      </c>
      <c r="I90" s="28">
        <v>80.0</v>
      </c>
      <c r="J90" s="25">
        <f t="shared" si="86"/>
        <v>0</v>
      </c>
      <c r="K90" s="26"/>
      <c r="L90" s="25">
        <f t="shared" si="87"/>
        <v>0</v>
      </c>
      <c r="M90" s="26"/>
      <c r="N90" s="25">
        <f t="shared" si="88"/>
        <v>0</v>
      </c>
      <c r="O90" s="26"/>
      <c r="P90" s="25">
        <f t="shared" si="89"/>
        <v>0</v>
      </c>
      <c r="Q90" s="26"/>
      <c r="R90" s="25">
        <f t="shared" si="90"/>
        <v>0</v>
      </c>
      <c r="S90" s="26"/>
      <c r="T90" s="25">
        <f t="shared" si="91"/>
        <v>0</v>
      </c>
      <c r="U90" s="26"/>
      <c r="V90" s="25">
        <f t="shared" si="92"/>
        <v>0</v>
      </c>
      <c r="W90" s="26"/>
      <c r="X90" s="25">
        <f t="shared" si="93"/>
        <v>0</v>
      </c>
      <c r="Y90" s="26"/>
      <c r="Z90" s="54">
        <f t="shared" si="94"/>
        <v>240</v>
      </c>
      <c r="AA90" s="58"/>
      <c r="AB90" s="5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ht="12.0" hidden="1" customHeight="1">
      <c r="A91" s="24" t="s">
        <v>89</v>
      </c>
      <c r="B91" s="25">
        <f t="shared" si="82"/>
        <v>0</v>
      </c>
      <c r="C91" s="26"/>
      <c r="D91" s="25">
        <f t="shared" si="83"/>
        <v>0</v>
      </c>
      <c r="E91" s="26"/>
      <c r="F91" s="25">
        <f t="shared" si="84"/>
        <v>0</v>
      </c>
      <c r="G91" s="26"/>
      <c r="H91" s="25">
        <f t="shared" si="85"/>
        <v>0</v>
      </c>
      <c r="I91" s="26"/>
      <c r="J91" s="25">
        <f t="shared" si="86"/>
        <v>0</v>
      </c>
      <c r="K91" s="26"/>
      <c r="L91" s="25">
        <f t="shared" si="87"/>
        <v>0</v>
      </c>
      <c r="M91" s="26"/>
      <c r="N91" s="25">
        <f t="shared" si="88"/>
        <v>0</v>
      </c>
      <c r="O91" s="26"/>
      <c r="P91" s="25">
        <f t="shared" si="89"/>
        <v>0</v>
      </c>
      <c r="Q91" s="26"/>
      <c r="R91" s="25">
        <f t="shared" si="90"/>
        <v>0</v>
      </c>
      <c r="S91" s="26"/>
      <c r="T91" s="25">
        <f t="shared" si="91"/>
        <v>0</v>
      </c>
      <c r="U91" s="26"/>
      <c r="V91" s="25">
        <f t="shared" si="92"/>
        <v>0</v>
      </c>
      <c r="W91" s="26"/>
      <c r="X91" s="25">
        <f t="shared" si="93"/>
        <v>0</v>
      </c>
      <c r="Y91" s="26"/>
      <c r="Z91" s="54">
        <f t="shared" si="94"/>
        <v>0</v>
      </c>
      <c r="AA91" s="58"/>
      <c r="AB91" s="5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ht="12.0" hidden="1" customHeight="1">
      <c r="A92" s="24" t="s">
        <v>90</v>
      </c>
      <c r="B92" s="25">
        <f t="shared" si="82"/>
        <v>0</v>
      </c>
      <c r="C92" s="26"/>
      <c r="D92" s="25">
        <f t="shared" si="83"/>
        <v>0</v>
      </c>
      <c r="E92" s="26"/>
      <c r="F92" s="25">
        <f t="shared" si="84"/>
        <v>0</v>
      </c>
      <c r="G92" s="26"/>
      <c r="H92" s="25">
        <f t="shared" si="85"/>
        <v>0</v>
      </c>
      <c r="I92" s="26"/>
      <c r="J92" s="25">
        <f t="shared" si="86"/>
        <v>0</v>
      </c>
      <c r="K92" s="26"/>
      <c r="L92" s="25">
        <f t="shared" si="87"/>
        <v>0</v>
      </c>
      <c r="M92" s="26"/>
      <c r="N92" s="25">
        <f t="shared" si="88"/>
        <v>0</v>
      </c>
      <c r="O92" s="26"/>
      <c r="P92" s="25">
        <f t="shared" si="89"/>
        <v>0</v>
      </c>
      <c r="Q92" s="26"/>
      <c r="R92" s="25">
        <f t="shared" si="90"/>
        <v>0</v>
      </c>
      <c r="S92" s="26"/>
      <c r="T92" s="25">
        <f t="shared" si="91"/>
        <v>0</v>
      </c>
      <c r="U92" s="26"/>
      <c r="V92" s="25">
        <f t="shared" si="92"/>
        <v>0</v>
      </c>
      <c r="W92" s="26"/>
      <c r="X92" s="25">
        <f t="shared" si="93"/>
        <v>0</v>
      </c>
      <c r="Y92" s="26"/>
      <c r="Z92" s="54">
        <f t="shared" si="94"/>
        <v>0</v>
      </c>
      <c r="AA92" s="58"/>
      <c r="AB92" s="5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ht="12.0" hidden="1" customHeight="1">
      <c r="A93" s="24" t="s">
        <v>91</v>
      </c>
      <c r="B93" s="25">
        <f t="shared" si="82"/>
        <v>0</v>
      </c>
      <c r="C93" s="26"/>
      <c r="D93" s="25">
        <f t="shared" si="83"/>
        <v>0</v>
      </c>
      <c r="E93" s="26"/>
      <c r="F93" s="25">
        <f t="shared" si="84"/>
        <v>0</v>
      </c>
      <c r="G93" s="26"/>
      <c r="H93" s="25">
        <f t="shared" si="85"/>
        <v>0</v>
      </c>
      <c r="I93" s="26"/>
      <c r="J93" s="25">
        <f t="shared" si="86"/>
        <v>0</v>
      </c>
      <c r="K93" s="26"/>
      <c r="L93" s="25">
        <f t="shared" si="87"/>
        <v>0</v>
      </c>
      <c r="M93" s="26"/>
      <c r="N93" s="25">
        <f t="shared" si="88"/>
        <v>0</v>
      </c>
      <c r="O93" s="26"/>
      <c r="P93" s="25">
        <f t="shared" si="89"/>
        <v>0</v>
      </c>
      <c r="Q93" s="26"/>
      <c r="R93" s="25">
        <f t="shared" si="90"/>
        <v>0</v>
      </c>
      <c r="S93" s="26"/>
      <c r="T93" s="25">
        <f t="shared" si="91"/>
        <v>0</v>
      </c>
      <c r="U93" s="26"/>
      <c r="V93" s="25">
        <f t="shared" si="92"/>
        <v>0</v>
      </c>
      <c r="W93" s="26"/>
      <c r="X93" s="25">
        <f t="shared" si="93"/>
        <v>0</v>
      </c>
      <c r="Y93" s="26"/>
      <c r="Z93" s="54">
        <f t="shared" si="94"/>
        <v>0</v>
      </c>
      <c r="AA93" s="58"/>
      <c r="AB93" s="5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ht="12.0" hidden="1" customHeight="1">
      <c r="A94" s="24" t="s">
        <v>92</v>
      </c>
      <c r="B94" s="25">
        <f t="shared" si="82"/>
        <v>0</v>
      </c>
      <c r="C94" s="26"/>
      <c r="D94" s="25">
        <f t="shared" si="83"/>
        <v>0</v>
      </c>
      <c r="E94" s="26"/>
      <c r="F94" s="25">
        <f t="shared" si="84"/>
        <v>0</v>
      </c>
      <c r="G94" s="26"/>
      <c r="H94" s="25">
        <f t="shared" si="85"/>
        <v>0</v>
      </c>
      <c r="I94" s="26"/>
      <c r="J94" s="25">
        <f t="shared" si="86"/>
        <v>0</v>
      </c>
      <c r="K94" s="26"/>
      <c r="L94" s="25">
        <f t="shared" si="87"/>
        <v>0</v>
      </c>
      <c r="M94" s="26"/>
      <c r="N94" s="25">
        <f t="shared" si="88"/>
        <v>0</v>
      </c>
      <c r="O94" s="26"/>
      <c r="P94" s="25">
        <f t="shared" si="89"/>
        <v>0</v>
      </c>
      <c r="Q94" s="26"/>
      <c r="R94" s="25">
        <f t="shared" si="90"/>
        <v>0</v>
      </c>
      <c r="S94" s="26"/>
      <c r="T94" s="25">
        <f t="shared" si="91"/>
        <v>0</v>
      </c>
      <c r="U94" s="26"/>
      <c r="V94" s="25">
        <f t="shared" si="92"/>
        <v>0</v>
      </c>
      <c r="W94" s="26"/>
      <c r="X94" s="25">
        <f t="shared" si="93"/>
        <v>0</v>
      </c>
      <c r="Y94" s="26"/>
      <c r="Z94" s="54">
        <f t="shared" si="94"/>
        <v>0</v>
      </c>
      <c r="AA94" s="58"/>
      <c r="AB94" s="5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ht="12.0" customHeight="1">
      <c r="A95" s="24" t="s">
        <v>93</v>
      </c>
      <c r="B95" s="25">
        <f t="shared" si="82"/>
        <v>0</v>
      </c>
      <c r="C95" s="26"/>
      <c r="D95" s="25">
        <f t="shared" si="83"/>
        <v>0</v>
      </c>
      <c r="E95" s="26"/>
      <c r="F95" s="25">
        <f t="shared" si="84"/>
        <v>0</v>
      </c>
      <c r="G95" s="26"/>
      <c r="H95" s="25">
        <f t="shared" si="85"/>
        <v>0</v>
      </c>
      <c r="I95" s="26"/>
      <c r="J95" s="25">
        <f t="shared" si="86"/>
        <v>0</v>
      </c>
      <c r="K95" s="26"/>
      <c r="L95" s="25">
        <f t="shared" si="87"/>
        <v>0</v>
      </c>
      <c r="M95" s="26"/>
      <c r="N95" s="25">
        <f t="shared" si="88"/>
        <v>0</v>
      </c>
      <c r="O95" s="26"/>
      <c r="P95" s="25">
        <f t="shared" si="89"/>
        <v>0</v>
      </c>
      <c r="Q95" s="26"/>
      <c r="R95" s="25">
        <f t="shared" si="90"/>
        <v>0</v>
      </c>
      <c r="S95" s="26"/>
      <c r="T95" s="25">
        <f t="shared" si="91"/>
        <v>0</v>
      </c>
      <c r="U95" s="26"/>
      <c r="V95" s="25">
        <f t="shared" si="92"/>
        <v>0</v>
      </c>
      <c r="W95" s="26"/>
      <c r="X95" s="25">
        <f t="shared" si="93"/>
        <v>0</v>
      </c>
      <c r="Y95" s="26"/>
      <c r="Z95" s="54">
        <f t="shared" si="94"/>
        <v>0</v>
      </c>
      <c r="AA95" s="58"/>
      <c r="AB95" s="5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ht="12.0" customHeight="1">
      <c r="A96" s="51" t="s">
        <v>94</v>
      </c>
      <c r="B96" s="71">
        <f t="shared" si="82"/>
        <v>0.02798666447</v>
      </c>
      <c r="C96" s="45">
        <f>SUM(C97:C110)</f>
        <v>56.16</v>
      </c>
      <c r="D96" s="71">
        <f t="shared" si="83"/>
        <v>0.02070284996</v>
      </c>
      <c r="E96" s="45">
        <f>SUM(E97:E110)</f>
        <v>56.16</v>
      </c>
      <c r="F96" s="71">
        <f t="shared" si="84"/>
        <v>0.02032374687</v>
      </c>
      <c r="G96" s="45">
        <f>SUM(G97:G110)</f>
        <v>56.16</v>
      </c>
      <c r="H96" s="71">
        <f t="shared" si="85"/>
        <v>0.02151996229</v>
      </c>
      <c r="I96" s="45">
        <f>SUM(I97:I110)</f>
        <v>56.16</v>
      </c>
      <c r="J96" s="71">
        <f t="shared" si="86"/>
        <v>0</v>
      </c>
      <c r="K96" s="45">
        <f>SUM(K97:K110)</f>
        <v>52</v>
      </c>
      <c r="L96" s="71">
        <f t="shared" si="87"/>
        <v>0</v>
      </c>
      <c r="M96" s="45">
        <f>SUM(M97:M110)</f>
        <v>0</v>
      </c>
      <c r="N96" s="71">
        <f t="shared" si="88"/>
        <v>0</v>
      </c>
      <c r="O96" s="45">
        <f>SUM(O97:O110)</f>
        <v>0</v>
      </c>
      <c r="P96" s="71">
        <f t="shared" si="89"/>
        <v>0</v>
      </c>
      <c r="Q96" s="45">
        <f>SUM(Q97:Q110)</f>
        <v>0</v>
      </c>
      <c r="R96" s="71">
        <f t="shared" si="90"/>
        <v>0</v>
      </c>
      <c r="S96" s="45">
        <f>SUM(S97:S110)</f>
        <v>0</v>
      </c>
      <c r="T96" s="71">
        <f t="shared" si="91"/>
        <v>0</v>
      </c>
      <c r="U96" s="45">
        <f>SUM(U97:U110)</f>
        <v>0</v>
      </c>
      <c r="V96" s="71">
        <f t="shared" si="92"/>
        <v>0</v>
      </c>
      <c r="W96" s="45">
        <f>SUM(W97:W110)</f>
        <v>0</v>
      </c>
      <c r="X96" s="71">
        <f t="shared" si="93"/>
        <v>0</v>
      </c>
      <c r="Y96" s="45">
        <f>SUM(Y97:Y110)</f>
        <v>0</v>
      </c>
      <c r="Z96" s="54">
        <f t="shared" si="94"/>
        <v>276.64</v>
      </c>
      <c r="AA96" s="65"/>
      <c r="AB96" s="50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ht="12.0" customHeight="1">
      <c r="A97" s="24" t="s">
        <v>95</v>
      </c>
      <c r="B97" s="25">
        <f t="shared" si="82"/>
        <v>0.002073086257</v>
      </c>
      <c r="C97" s="26">
        <v>4.16</v>
      </c>
      <c r="D97" s="25">
        <f t="shared" si="83"/>
        <v>0.001533544441</v>
      </c>
      <c r="E97" s="26">
        <v>4.16</v>
      </c>
      <c r="F97" s="25">
        <f t="shared" si="84"/>
        <v>0.001505462731</v>
      </c>
      <c r="G97" s="26">
        <v>4.16</v>
      </c>
      <c r="H97" s="25">
        <f t="shared" si="85"/>
        <v>0.001594071281</v>
      </c>
      <c r="I97" s="26">
        <v>4.16</v>
      </c>
      <c r="J97" s="25">
        <f t="shared" si="86"/>
        <v>0</v>
      </c>
      <c r="K97" s="26"/>
      <c r="L97" s="25">
        <f t="shared" si="87"/>
        <v>0</v>
      </c>
      <c r="M97" s="26"/>
      <c r="N97" s="25">
        <f t="shared" si="88"/>
        <v>0</v>
      </c>
      <c r="O97" s="26"/>
      <c r="P97" s="25">
        <f t="shared" si="89"/>
        <v>0</v>
      </c>
      <c r="Q97" s="26"/>
      <c r="R97" s="25">
        <f t="shared" si="90"/>
        <v>0</v>
      </c>
      <c r="S97" s="26"/>
      <c r="T97" s="25">
        <f t="shared" si="91"/>
        <v>0</v>
      </c>
      <c r="U97" s="26"/>
      <c r="V97" s="25">
        <f t="shared" si="92"/>
        <v>0</v>
      </c>
      <c r="W97" s="26"/>
      <c r="X97" s="25">
        <f t="shared" si="93"/>
        <v>0</v>
      </c>
      <c r="Y97" s="26"/>
      <c r="Z97" s="54">
        <f t="shared" si="94"/>
        <v>16.64</v>
      </c>
      <c r="AA97" s="58"/>
      <c r="AB97" s="5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ht="12.0" hidden="1" customHeight="1">
      <c r="A98" s="24" t="s">
        <v>96</v>
      </c>
      <c r="B98" s="25">
        <f t="shared" si="82"/>
        <v>0</v>
      </c>
      <c r="C98" s="26"/>
      <c r="D98" s="25">
        <f t="shared" si="83"/>
        <v>0</v>
      </c>
      <c r="E98" s="26"/>
      <c r="F98" s="25">
        <f t="shared" si="84"/>
        <v>0</v>
      </c>
      <c r="G98" s="26"/>
      <c r="H98" s="25">
        <f t="shared" si="85"/>
        <v>0</v>
      </c>
      <c r="I98" s="26"/>
      <c r="J98" s="25">
        <f t="shared" si="86"/>
        <v>0</v>
      </c>
      <c r="K98" s="26"/>
      <c r="L98" s="25">
        <f t="shared" si="87"/>
        <v>0</v>
      </c>
      <c r="M98" s="26"/>
      <c r="N98" s="25">
        <f t="shared" si="88"/>
        <v>0</v>
      </c>
      <c r="O98" s="26"/>
      <c r="P98" s="25">
        <f t="shared" si="89"/>
        <v>0</v>
      </c>
      <c r="Q98" s="26"/>
      <c r="R98" s="25">
        <f t="shared" si="90"/>
        <v>0</v>
      </c>
      <c r="S98" s="26"/>
      <c r="T98" s="25">
        <f t="shared" si="91"/>
        <v>0</v>
      </c>
      <c r="U98" s="26"/>
      <c r="V98" s="25">
        <f t="shared" si="92"/>
        <v>0</v>
      </c>
      <c r="W98" s="26"/>
      <c r="X98" s="25">
        <f t="shared" si="93"/>
        <v>0</v>
      </c>
      <c r="Y98" s="26"/>
      <c r="Z98" s="54">
        <f t="shared" si="94"/>
        <v>0</v>
      </c>
      <c r="AA98" s="58"/>
      <c r="AB98" s="5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ht="12.0" hidden="1" customHeight="1">
      <c r="A99" s="24" t="s">
        <v>97</v>
      </c>
      <c r="B99" s="25">
        <f t="shared" si="82"/>
        <v>0</v>
      </c>
      <c r="C99" s="26"/>
      <c r="D99" s="25">
        <f t="shared" si="83"/>
        <v>0</v>
      </c>
      <c r="E99" s="26"/>
      <c r="F99" s="25">
        <f t="shared" si="84"/>
        <v>0</v>
      </c>
      <c r="G99" s="26"/>
      <c r="H99" s="25">
        <f t="shared" si="85"/>
        <v>0</v>
      </c>
      <c r="I99" s="26"/>
      <c r="J99" s="25">
        <f t="shared" si="86"/>
        <v>0</v>
      </c>
      <c r="K99" s="26"/>
      <c r="L99" s="25">
        <f t="shared" si="87"/>
        <v>0</v>
      </c>
      <c r="M99" s="26"/>
      <c r="N99" s="25">
        <f t="shared" si="88"/>
        <v>0</v>
      </c>
      <c r="O99" s="26"/>
      <c r="P99" s="25">
        <f t="shared" si="89"/>
        <v>0</v>
      </c>
      <c r="Q99" s="26"/>
      <c r="R99" s="25">
        <f t="shared" si="90"/>
        <v>0</v>
      </c>
      <c r="S99" s="26"/>
      <c r="T99" s="25">
        <f t="shared" si="91"/>
        <v>0</v>
      </c>
      <c r="U99" s="26"/>
      <c r="V99" s="25">
        <f t="shared" si="92"/>
        <v>0</v>
      </c>
      <c r="W99" s="26"/>
      <c r="X99" s="25">
        <f t="shared" si="93"/>
        <v>0</v>
      </c>
      <c r="Y99" s="26"/>
      <c r="Z99" s="54">
        <f t="shared" si="94"/>
        <v>0</v>
      </c>
      <c r="AA99" s="58"/>
      <c r="AB99" s="5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ht="12.0" hidden="1" customHeight="1">
      <c r="A100" s="24" t="s">
        <v>98</v>
      </c>
      <c r="B100" s="25">
        <f t="shared" si="82"/>
        <v>0</v>
      </c>
      <c r="C100" s="26"/>
      <c r="D100" s="25">
        <f t="shared" si="83"/>
        <v>0</v>
      </c>
      <c r="E100" s="26"/>
      <c r="F100" s="25">
        <f t="shared" si="84"/>
        <v>0</v>
      </c>
      <c r="G100" s="26"/>
      <c r="H100" s="25">
        <f t="shared" si="85"/>
        <v>0</v>
      </c>
      <c r="I100" s="26"/>
      <c r="J100" s="25">
        <f t="shared" si="86"/>
        <v>0</v>
      </c>
      <c r="K100" s="26"/>
      <c r="L100" s="25">
        <f t="shared" si="87"/>
        <v>0</v>
      </c>
      <c r="M100" s="26"/>
      <c r="N100" s="25">
        <f t="shared" si="88"/>
        <v>0</v>
      </c>
      <c r="O100" s="26"/>
      <c r="P100" s="25">
        <f t="shared" si="89"/>
        <v>0</v>
      </c>
      <c r="Q100" s="26"/>
      <c r="R100" s="25">
        <f t="shared" si="90"/>
        <v>0</v>
      </c>
      <c r="S100" s="26"/>
      <c r="T100" s="25">
        <f t="shared" si="91"/>
        <v>0</v>
      </c>
      <c r="U100" s="26"/>
      <c r="V100" s="25">
        <f t="shared" si="92"/>
        <v>0</v>
      </c>
      <c r="W100" s="26"/>
      <c r="X100" s="25">
        <f t="shared" si="93"/>
        <v>0</v>
      </c>
      <c r="Y100" s="26"/>
      <c r="Z100" s="54">
        <f t="shared" si="94"/>
        <v>0</v>
      </c>
      <c r="AA100" s="58"/>
      <c r="AB100" s="5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ht="12.0" hidden="1" customHeight="1">
      <c r="A101" s="24" t="s">
        <v>99</v>
      </c>
      <c r="B101" s="25">
        <f t="shared" si="82"/>
        <v>0</v>
      </c>
      <c r="C101" s="26"/>
      <c r="D101" s="25">
        <f t="shared" si="83"/>
        <v>0</v>
      </c>
      <c r="E101" s="26"/>
      <c r="F101" s="25">
        <f t="shared" si="84"/>
        <v>0</v>
      </c>
      <c r="G101" s="26"/>
      <c r="H101" s="25">
        <f t="shared" si="85"/>
        <v>0</v>
      </c>
      <c r="I101" s="26"/>
      <c r="J101" s="25">
        <f t="shared" si="86"/>
        <v>0</v>
      </c>
      <c r="K101" s="26"/>
      <c r="L101" s="25">
        <f t="shared" si="87"/>
        <v>0</v>
      </c>
      <c r="M101" s="26"/>
      <c r="N101" s="25">
        <f t="shared" si="88"/>
        <v>0</v>
      </c>
      <c r="O101" s="26"/>
      <c r="P101" s="25">
        <f t="shared" si="89"/>
        <v>0</v>
      </c>
      <c r="Q101" s="26"/>
      <c r="R101" s="25">
        <f t="shared" si="90"/>
        <v>0</v>
      </c>
      <c r="S101" s="26"/>
      <c r="T101" s="25">
        <f t="shared" si="91"/>
        <v>0</v>
      </c>
      <c r="U101" s="26"/>
      <c r="V101" s="25">
        <f t="shared" si="92"/>
        <v>0</v>
      </c>
      <c r="W101" s="26"/>
      <c r="X101" s="25">
        <f t="shared" si="93"/>
        <v>0</v>
      </c>
      <c r="Y101" s="26"/>
      <c r="Z101" s="54">
        <f t="shared" si="94"/>
        <v>0</v>
      </c>
      <c r="AA101" s="58"/>
      <c r="AB101" s="55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ht="12.0" hidden="1" customHeight="1">
      <c r="A102" s="24" t="s">
        <v>100</v>
      </c>
      <c r="B102" s="25">
        <f t="shared" si="82"/>
        <v>0</v>
      </c>
      <c r="C102" s="26"/>
      <c r="D102" s="25">
        <f t="shared" si="83"/>
        <v>0</v>
      </c>
      <c r="E102" s="26"/>
      <c r="F102" s="25">
        <f t="shared" si="84"/>
        <v>0</v>
      </c>
      <c r="G102" s="26"/>
      <c r="H102" s="25">
        <f t="shared" si="85"/>
        <v>0</v>
      </c>
      <c r="I102" s="26"/>
      <c r="J102" s="25">
        <f t="shared" si="86"/>
        <v>0</v>
      </c>
      <c r="K102" s="26"/>
      <c r="L102" s="25">
        <f t="shared" si="87"/>
        <v>0</v>
      </c>
      <c r="M102" s="26"/>
      <c r="N102" s="25">
        <f t="shared" si="88"/>
        <v>0</v>
      </c>
      <c r="O102" s="26"/>
      <c r="P102" s="25">
        <f t="shared" si="89"/>
        <v>0</v>
      </c>
      <c r="Q102" s="26"/>
      <c r="R102" s="25">
        <f t="shared" si="90"/>
        <v>0</v>
      </c>
      <c r="S102" s="26"/>
      <c r="T102" s="25">
        <f t="shared" si="91"/>
        <v>0</v>
      </c>
      <c r="U102" s="26"/>
      <c r="V102" s="25">
        <f t="shared" si="92"/>
        <v>0</v>
      </c>
      <c r="W102" s="26"/>
      <c r="X102" s="25">
        <f t="shared" si="93"/>
        <v>0</v>
      </c>
      <c r="Y102" s="26"/>
      <c r="Z102" s="54">
        <f t="shared" si="94"/>
        <v>0</v>
      </c>
      <c r="AA102" s="58"/>
      <c r="AB102" s="55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ht="12.0" customHeight="1">
      <c r="A103" s="24" t="s">
        <v>101</v>
      </c>
      <c r="B103" s="25">
        <f t="shared" si="82"/>
        <v>0</v>
      </c>
      <c r="C103" s="26"/>
      <c r="D103" s="25">
        <f t="shared" si="83"/>
        <v>0</v>
      </c>
      <c r="E103" s="26"/>
      <c r="F103" s="25">
        <f t="shared" si="84"/>
        <v>0</v>
      </c>
      <c r="G103" s="26"/>
      <c r="H103" s="25">
        <f t="shared" si="85"/>
        <v>0</v>
      </c>
      <c r="I103" s="26"/>
      <c r="J103" s="25">
        <f t="shared" si="86"/>
        <v>0</v>
      </c>
      <c r="K103" s="26"/>
      <c r="L103" s="25">
        <f t="shared" si="87"/>
        <v>0</v>
      </c>
      <c r="M103" s="26"/>
      <c r="N103" s="25">
        <f t="shared" si="88"/>
        <v>0</v>
      </c>
      <c r="O103" s="26"/>
      <c r="P103" s="25">
        <f t="shared" si="89"/>
        <v>0</v>
      </c>
      <c r="Q103" s="26"/>
      <c r="R103" s="25">
        <f t="shared" si="90"/>
        <v>0</v>
      </c>
      <c r="S103" s="26"/>
      <c r="T103" s="25">
        <f t="shared" si="91"/>
        <v>0</v>
      </c>
      <c r="U103" s="26"/>
      <c r="V103" s="25">
        <f t="shared" si="92"/>
        <v>0</v>
      </c>
      <c r="W103" s="26"/>
      <c r="X103" s="25">
        <f t="shared" si="93"/>
        <v>0</v>
      </c>
      <c r="Y103" s="26"/>
      <c r="Z103" s="54">
        <f t="shared" si="94"/>
        <v>0</v>
      </c>
      <c r="AA103" s="58"/>
      <c r="AB103" s="55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ht="12.0" customHeight="1">
      <c r="A104" s="24" t="s">
        <v>102</v>
      </c>
      <c r="B104" s="25">
        <f t="shared" si="82"/>
        <v>0</v>
      </c>
      <c r="C104" s="26"/>
      <c r="D104" s="25">
        <f t="shared" si="83"/>
        <v>0</v>
      </c>
      <c r="E104" s="26"/>
      <c r="F104" s="25">
        <f t="shared" si="84"/>
        <v>0</v>
      </c>
      <c r="G104" s="26"/>
      <c r="H104" s="25">
        <f t="shared" si="85"/>
        <v>0</v>
      </c>
      <c r="I104" s="26"/>
      <c r="J104" s="25">
        <f t="shared" si="86"/>
        <v>0</v>
      </c>
      <c r="K104" s="26"/>
      <c r="L104" s="25">
        <f t="shared" si="87"/>
        <v>0</v>
      </c>
      <c r="M104" s="26"/>
      <c r="N104" s="25">
        <f t="shared" si="88"/>
        <v>0</v>
      </c>
      <c r="O104" s="26"/>
      <c r="P104" s="25">
        <f t="shared" si="89"/>
        <v>0</v>
      </c>
      <c r="Q104" s="26"/>
      <c r="R104" s="25">
        <f t="shared" si="90"/>
        <v>0</v>
      </c>
      <c r="S104" s="26"/>
      <c r="T104" s="25">
        <f t="shared" si="91"/>
        <v>0</v>
      </c>
      <c r="U104" s="26"/>
      <c r="V104" s="25">
        <f t="shared" si="92"/>
        <v>0</v>
      </c>
      <c r="W104" s="26"/>
      <c r="X104" s="25">
        <f t="shared" si="93"/>
        <v>0</v>
      </c>
      <c r="Y104" s="26"/>
      <c r="Z104" s="54">
        <f t="shared" si="94"/>
        <v>0</v>
      </c>
      <c r="AA104" s="58"/>
      <c r="AB104" s="55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ht="12.0" hidden="1" customHeight="1">
      <c r="A105" s="24" t="s">
        <v>103</v>
      </c>
      <c r="B105" s="25">
        <f t="shared" si="82"/>
        <v>0</v>
      </c>
      <c r="C105" s="26"/>
      <c r="D105" s="25">
        <f t="shared" si="83"/>
        <v>0</v>
      </c>
      <c r="E105" s="26"/>
      <c r="F105" s="25">
        <f t="shared" si="84"/>
        <v>0</v>
      </c>
      <c r="G105" s="26"/>
      <c r="H105" s="25">
        <f t="shared" si="85"/>
        <v>0</v>
      </c>
      <c r="I105" s="26"/>
      <c r="J105" s="25">
        <f t="shared" si="86"/>
        <v>0</v>
      </c>
      <c r="K105" s="26"/>
      <c r="L105" s="25">
        <f t="shared" si="87"/>
        <v>0</v>
      </c>
      <c r="M105" s="26"/>
      <c r="N105" s="25">
        <f t="shared" si="88"/>
        <v>0</v>
      </c>
      <c r="O105" s="26"/>
      <c r="P105" s="25">
        <f t="shared" si="89"/>
        <v>0</v>
      </c>
      <c r="Q105" s="26"/>
      <c r="R105" s="25">
        <f t="shared" si="90"/>
        <v>0</v>
      </c>
      <c r="S105" s="26"/>
      <c r="T105" s="25">
        <f t="shared" si="91"/>
        <v>0</v>
      </c>
      <c r="U105" s="26"/>
      <c r="V105" s="25">
        <f t="shared" si="92"/>
        <v>0</v>
      </c>
      <c r="W105" s="26"/>
      <c r="X105" s="25">
        <f t="shared" si="93"/>
        <v>0</v>
      </c>
      <c r="Y105" s="26"/>
      <c r="Z105" s="54">
        <f t="shared" si="94"/>
        <v>0</v>
      </c>
      <c r="AA105" s="58"/>
      <c r="AB105" s="55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ht="12.0" hidden="1" customHeight="1">
      <c r="A106" s="24" t="s">
        <v>104</v>
      </c>
      <c r="B106" s="25">
        <f t="shared" si="82"/>
        <v>0</v>
      </c>
      <c r="C106" s="26"/>
      <c r="D106" s="25">
        <f t="shared" si="83"/>
        <v>0</v>
      </c>
      <c r="E106" s="26"/>
      <c r="F106" s="25">
        <f t="shared" si="84"/>
        <v>0</v>
      </c>
      <c r="G106" s="26"/>
      <c r="H106" s="25">
        <f t="shared" si="85"/>
        <v>0</v>
      </c>
      <c r="I106" s="26"/>
      <c r="J106" s="25">
        <f t="shared" si="86"/>
        <v>0</v>
      </c>
      <c r="K106" s="26"/>
      <c r="L106" s="25">
        <f t="shared" si="87"/>
        <v>0</v>
      </c>
      <c r="M106" s="26"/>
      <c r="N106" s="25">
        <f t="shared" si="88"/>
        <v>0</v>
      </c>
      <c r="O106" s="26"/>
      <c r="P106" s="25">
        <f t="shared" si="89"/>
        <v>0</v>
      </c>
      <c r="Q106" s="26"/>
      <c r="R106" s="25">
        <f t="shared" si="90"/>
        <v>0</v>
      </c>
      <c r="S106" s="26"/>
      <c r="T106" s="25">
        <f t="shared" si="91"/>
        <v>0</v>
      </c>
      <c r="U106" s="26"/>
      <c r="V106" s="25">
        <f t="shared" si="92"/>
        <v>0</v>
      </c>
      <c r="W106" s="26"/>
      <c r="X106" s="25">
        <f t="shared" si="93"/>
        <v>0</v>
      </c>
      <c r="Y106" s="26"/>
      <c r="Z106" s="54">
        <f t="shared" si="94"/>
        <v>0</v>
      </c>
      <c r="AA106" s="58"/>
      <c r="AB106" s="55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ht="12.0" customHeight="1">
      <c r="A107" s="24" t="s">
        <v>105</v>
      </c>
      <c r="B107" s="25">
        <f t="shared" si="82"/>
        <v>0</v>
      </c>
      <c r="C107" s="26"/>
      <c r="D107" s="25">
        <f t="shared" si="83"/>
        <v>0</v>
      </c>
      <c r="E107" s="26"/>
      <c r="F107" s="25">
        <f t="shared" si="84"/>
        <v>0</v>
      </c>
      <c r="G107" s="26"/>
      <c r="H107" s="25">
        <f t="shared" si="85"/>
        <v>0</v>
      </c>
      <c r="I107" s="26"/>
      <c r="J107" s="25">
        <f t="shared" si="86"/>
        <v>0</v>
      </c>
      <c r="K107" s="26"/>
      <c r="L107" s="25">
        <f t="shared" si="87"/>
        <v>0</v>
      </c>
      <c r="M107" s="26"/>
      <c r="N107" s="25">
        <f t="shared" si="88"/>
        <v>0</v>
      </c>
      <c r="O107" s="26"/>
      <c r="P107" s="25">
        <f t="shared" si="89"/>
        <v>0</v>
      </c>
      <c r="Q107" s="26"/>
      <c r="R107" s="25">
        <f t="shared" si="90"/>
        <v>0</v>
      </c>
      <c r="S107" s="26"/>
      <c r="T107" s="25">
        <f t="shared" si="91"/>
        <v>0</v>
      </c>
      <c r="U107" s="26"/>
      <c r="V107" s="25">
        <f t="shared" si="92"/>
        <v>0</v>
      </c>
      <c r="W107" s="26"/>
      <c r="X107" s="25">
        <f t="shared" si="93"/>
        <v>0</v>
      </c>
      <c r="Y107" s="26"/>
      <c r="Z107" s="54">
        <f t="shared" si="94"/>
        <v>0</v>
      </c>
      <c r="AA107" s="58"/>
      <c r="AB107" s="55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ht="12.0" customHeight="1">
      <c r="A108" s="24" t="s">
        <v>106</v>
      </c>
      <c r="B108" s="25">
        <f t="shared" si="82"/>
        <v>0</v>
      </c>
      <c r="C108" s="26"/>
      <c r="D108" s="25">
        <f t="shared" si="83"/>
        <v>0</v>
      </c>
      <c r="E108" s="26"/>
      <c r="F108" s="25">
        <f t="shared" si="84"/>
        <v>0</v>
      </c>
      <c r="G108" s="26"/>
      <c r="H108" s="25">
        <f t="shared" si="85"/>
        <v>0</v>
      </c>
      <c r="I108" s="26"/>
      <c r="J108" s="25">
        <f t="shared" si="86"/>
        <v>0</v>
      </c>
      <c r="K108" s="26"/>
      <c r="L108" s="25">
        <f t="shared" si="87"/>
        <v>0</v>
      </c>
      <c r="M108" s="26"/>
      <c r="N108" s="25">
        <f t="shared" si="88"/>
        <v>0</v>
      </c>
      <c r="O108" s="26"/>
      <c r="P108" s="25">
        <f t="shared" si="89"/>
        <v>0</v>
      </c>
      <c r="Q108" s="26"/>
      <c r="R108" s="25">
        <f t="shared" si="90"/>
        <v>0</v>
      </c>
      <c r="S108" s="26"/>
      <c r="T108" s="25">
        <f t="shared" si="91"/>
        <v>0</v>
      </c>
      <c r="U108" s="26"/>
      <c r="V108" s="25">
        <f t="shared" si="92"/>
        <v>0</v>
      </c>
      <c r="W108" s="26"/>
      <c r="X108" s="25">
        <f t="shared" si="93"/>
        <v>0</v>
      </c>
      <c r="Y108" s="26"/>
      <c r="Z108" s="54">
        <f t="shared" si="94"/>
        <v>0</v>
      </c>
      <c r="AA108" s="58"/>
      <c r="AB108" s="55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ht="12.0" hidden="1" customHeight="1">
      <c r="A109" s="24" t="s">
        <v>107</v>
      </c>
      <c r="B109" s="25">
        <f t="shared" si="82"/>
        <v>0</v>
      </c>
      <c r="C109" s="26"/>
      <c r="D109" s="25">
        <f t="shared" si="83"/>
        <v>0</v>
      </c>
      <c r="E109" s="26"/>
      <c r="F109" s="25">
        <f t="shared" si="84"/>
        <v>0</v>
      </c>
      <c r="G109" s="26"/>
      <c r="H109" s="25">
        <f t="shared" si="85"/>
        <v>0</v>
      </c>
      <c r="I109" s="26"/>
      <c r="J109" s="25">
        <f t="shared" si="86"/>
        <v>0</v>
      </c>
      <c r="K109" s="26"/>
      <c r="L109" s="25">
        <f t="shared" si="87"/>
        <v>0</v>
      </c>
      <c r="M109" s="26"/>
      <c r="N109" s="25">
        <f t="shared" si="88"/>
        <v>0</v>
      </c>
      <c r="O109" s="26"/>
      <c r="P109" s="25">
        <f t="shared" si="89"/>
        <v>0</v>
      </c>
      <c r="Q109" s="26"/>
      <c r="R109" s="25">
        <f t="shared" si="90"/>
        <v>0</v>
      </c>
      <c r="S109" s="26"/>
      <c r="T109" s="25">
        <f t="shared" si="91"/>
        <v>0</v>
      </c>
      <c r="U109" s="26"/>
      <c r="V109" s="25">
        <f t="shared" si="92"/>
        <v>0</v>
      </c>
      <c r="W109" s="26"/>
      <c r="X109" s="25">
        <f t="shared" si="93"/>
        <v>0</v>
      </c>
      <c r="Y109" s="26"/>
      <c r="Z109" s="54">
        <f t="shared" si="94"/>
        <v>0</v>
      </c>
      <c r="AA109" s="58"/>
      <c r="AB109" s="55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ht="12.0" customHeight="1">
      <c r="A110" s="24" t="s">
        <v>93</v>
      </c>
      <c r="B110" s="25">
        <f t="shared" si="82"/>
        <v>0.02591357822</v>
      </c>
      <c r="C110" s="26">
        <v>52.0</v>
      </c>
      <c r="D110" s="25">
        <f t="shared" si="83"/>
        <v>0.01916930552</v>
      </c>
      <c r="E110" s="26">
        <v>52.0</v>
      </c>
      <c r="F110" s="25">
        <f t="shared" si="84"/>
        <v>0.01881828413</v>
      </c>
      <c r="G110" s="26">
        <v>52.0</v>
      </c>
      <c r="H110" s="25">
        <f t="shared" si="85"/>
        <v>0.01992589101</v>
      </c>
      <c r="I110" s="26">
        <v>52.0</v>
      </c>
      <c r="J110" s="25">
        <f t="shared" si="86"/>
        <v>0</v>
      </c>
      <c r="K110" s="26">
        <v>52.0</v>
      </c>
      <c r="L110" s="25">
        <f t="shared" si="87"/>
        <v>0</v>
      </c>
      <c r="M110" s="26"/>
      <c r="N110" s="25">
        <f t="shared" si="88"/>
        <v>0</v>
      </c>
      <c r="O110" s="26"/>
      <c r="P110" s="25">
        <f t="shared" si="89"/>
        <v>0</v>
      </c>
      <c r="Q110" s="26"/>
      <c r="R110" s="25">
        <f t="shared" si="90"/>
        <v>0</v>
      </c>
      <c r="S110" s="26"/>
      <c r="T110" s="25">
        <f t="shared" si="91"/>
        <v>0</v>
      </c>
      <c r="U110" s="26"/>
      <c r="V110" s="25">
        <f t="shared" si="92"/>
        <v>0</v>
      </c>
      <c r="W110" s="26"/>
      <c r="X110" s="25">
        <f t="shared" si="93"/>
        <v>0</v>
      </c>
      <c r="Y110" s="26"/>
      <c r="Z110" s="54">
        <f t="shared" si="94"/>
        <v>260</v>
      </c>
      <c r="AA110" s="58"/>
      <c r="AB110" s="55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ht="12.75" customHeight="1">
      <c r="A111" s="51" t="s">
        <v>108</v>
      </c>
      <c r="B111" s="73">
        <f t="shared" si="82"/>
        <v>0.02798666447</v>
      </c>
      <c r="C111" s="74">
        <f>C89+C96</f>
        <v>56.16</v>
      </c>
      <c r="D111" s="73">
        <f t="shared" si="83"/>
        <v>0.05019408922</v>
      </c>
      <c r="E111" s="74">
        <f>E89+E96</f>
        <v>136.16</v>
      </c>
      <c r="F111" s="73">
        <f t="shared" si="84"/>
        <v>0.04927495323</v>
      </c>
      <c r="G111" s="74">
        <f>G89+G96</f>
        <v>136.16</v>
      </c>
      <c r="H111" s="73">
        <f t="shared" si="85"/>
        <v>0.05217517924</v>
      </c>
      <c r="I111" s="74">
        <f>I89+I96</f>
        <v>136.16</v>
      </c>
      <c r="J111" s="73">
        <f t="shared" si="86"/>
        <v>0</v>
      </c>
      <c r="K111" s="74">
        <f>K89+K96</f>
        <v>52</v>
      </c>
      <c r="L111" s="73">
        <f t="shared" si="87"/>
        <v>0</v>
      </c>
      <c r="M111" s="74">
        <f>M89+M96</f>
        <v>0</v>
      </c>
      <c r="N111" s="73">
        <f t="shared" si="88"/>
        <v>0</v>
      </c>
      <c r="O111" s="74">
        <f>O89+O96</f>
        <v>0</v>
      </c>
      <c r="P111" s="73">
        <f t="shared" si="89"/>
        <v>0</v>
      </c>
      <c r="Q111" s="74">
        <f>Q89+Q96</f>
        <v>0</v>
      </c>
      <c r="R111" s="73">
        <f t="shared" si="90"/>
        <v>0</v>
      </c>
      <c r="S111" s="74">
        <f>S89+S96</f>
        <v>0</v>
      </c>
      <c r="T111" s="73">
        <f t="shared" si="91"/>
        <v>0</v>
      </c>
      <c r="U111" s="74">
        <f>U89+U96</f>
        <v>0</v>
      </c>
      <c r="V111" s="73">
        <f t="shared" si="92"/>
        <v>0</v>
      </c>
      <c r="W111" s="74">
        <f>W89+W96</f>
        <v>0</v>
      </c>
      <c r="X111" s="73">
        <f t="shared" si="93"/>
        <v>0</v>
      </c>
      <c r="Y111" s="74">
        <f>Y89+Y96</f>
        <v>0</v>
      </c>
      <c r="Z111" s="74">
        <f t="shared" si="94"/>
        <v>516.64</v>
      </c>
      <c r="AA111" s="65"/>
      <c r="AB111" s="50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ht="12.75" customHeight="1">
      <c r="A112" s="16"/>
      <c r="B112" s="16"/>
      <c r="C112" s="80"/>
      <c r="D112" s="16"/>
      <c r="E112" s="80"/>
      <c r="F112" s="16"/>
      <c r="G112" s="80"/>
      <c r="H112" s="16"/>
      <c r="I112" s="80"/>
      <c r="J112" s="16"/>
      <c r="K112" s="80"/>
      <c r="L112" s="16"/>
      <c r="M112" s="80"/>
      <c r="N112" s="16"/>
      <c r="O112" s="80"/>
      <c r="P112" s="16"/>
      <c r="Q112" s="80"/>
      <c r="R112" s="16"/>
      <c r="S112" s="80"/>
      <c r="T112" s="16"/>
      <c r="U112" s="80"/>
      <c r="V112" s="16"/>
      <c r="W112" s="80"/>
      <c r="X112" s="16"/>
      <c r="Y112" s="80"/>
      <c r="Z112" s="80"/>
      <c r="AA112" s="65"/>
      <c r="AB112" s="50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ht="12.75" customHeight="1">
      <c r="A113" s="51" t="s">
        <v>109</v>
      </c>
      <c r="B113" s="81"/>
      <c r="C113" s="79">
        <f>C29+C81+C87+C111</f>
        <v>2028.935</v>
      </c>
      <c r="D113" s="81"/>
      <c r="E113" s="79">
        <f>E29+E81+E87+E111</f>
        <v>2725.435</v>
      </c>
      <c r="F113" s="81"/>
      <c r="G113" s="79">
        <f>G29+G81+G87+G111</f>
        <v>2825.435</v>
      </c>
      <c r="H113" s="81"/>
      <c r="I113" s="79">
        <f>I29+I81+I87+I111</f>
        <v>2720.435</v>
      </c>
      <c r="J113" s="81"/>
      <c r="K113" s="79">
        <f>K29+K81+K87+K111</f>
        <v>2442.81</v>
      </c>
      <c r="L113" s="81"/>
      <c r="M113" s="79">
        <f>M29+M81+M87+M111</f>
        <v>2584.81</v>
      </c>
      <c r="N113" s="81"/>
      <c r="O113" s="79">
        <f>O29+O81+O87+O111</f>
        <v>2404.81</v>
      </c>
      <c r="P113" s="81"/>
      <c r="Q113" s="79">
        <f>Q29+Q81+Q87+Q111</f>
        <v>3579.72</v>
      </c>
      <c r="R113" s="81"/>
      <c r="S113" s="79">
        <f>S29+S81+S87+S111</f>
        <v>2229.81</v>
      </c>
      <c r="T113" s="81"/>
      <c r="U113" s="79">
        <f>U29+U81+U87+U111</f>
        <v>2547.31</v>
      </c>
      <c r="V113" s="81"/>
      <c r="W113" s="79">
        <f>W29+W81+W87+W111</f>
        <v>3320.81</v>
      </c>
      <c r="X113" s="81"/>
      <c r="Y113" s="79">
        <f>Y29+Y81+Y87+Y111</f>
        <v>2433.81</v>
      </c>
      <c r="Z113" s="79">
        <f>SUM(C113:Y113)</f>
        <v>31844.13</v>
      </c>
      <c r="AA113" s="50"/>
      <c r="AB113" s="50"/>
      <c r="AC113" s="69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ht="12.75" customHeight="1">
      <c r="A114" s="82" t="s">
        <v>110</v>
      </c>
      <c r="B114" s="83"/>
      <c r="C114" s="84">
        <f>IF($C$113&lt;&gt;0,C113/$C$113-1,0)</f>
        <v>0</v>
      </c>
      <c r="D114" s="83"/>
      <c r="E114" s="84">
        <f>IF(C113&lt;&gt;0,E113/C113-1,0)</f>
        <v>0.3432835453</v>
      </c>
      <c r="F114" s="83"/>
      <c r="G114" s="84">
        <f>IF(E113&lt;&gt;0,G113/E113-1,0)</f>
        <v>0.03669139055</v>
      </c>
      <c r="H114" s="83"/>
      <c r="I114" s="84">
        <f>IF(G113&lt;&gt;0,I113/G113-1,0)</f>
        <v>-0.03716241924</v>
      </c>
      <c r="J114" s="83"/>
      <c r="K114" s="84">
        <f>IF(I113&lt;&gt;0,K113/I113-1,0)</f>
        <v>-0.1020516939</v>
      </c>
      <c r="L114" s="83"/>
      <c r="M114" s="84">
        <f>IF(K113&lt;&gt;0,M113/K113-1,0)</f>
        <v>0.05812977677</v>
      </c>
      <c r="N114" s="83"/>
      <c r="O114" s="84">
        <f>IF(M113&lt;&gt;0,O113/M113-1,0)</f>
        <v>-0.0696376136</v>
      </c>
      <c r="P114" s="83"/>
      <c r="Q114" s="84">
        <f>IF(O113&lt;&gt;0,Q113/O113-1,0)</f>
        <v>0.4885666643</v>
      </c>
      <c r="R114" s="83"/>
      <c r="S114" s="84">
        <f>IF(Q113&lt;&gt;0,S113/Q113-1,0)</f>
        <v>-0.3770993262</v>
      </c>
      <c r="T114" s="83"/>
      <c r="U114" s="84">
        <f>IF(S113&lt;&gt;0,U113/S113-1,0)</f>
        <v>0.1423888134</v>
      </c>
      <c r="V114" s="83"/>
      <c r="W114" s="84">
        <f>IF(U113&lt;&gt;0,W113/U113-1,0)</f>
        <v>0.3036536582</v>
      </c>
      <c r="X114" s="83"/>
      <c r="Y114" s="84">
        <f>IF(W113&lt;&gt;0,Y113/W113-1,0)</f>
        <v>-0.2671035079</v>
      </c>
      <c r="Z114" s="85">
        <f>-1+(1+E114)*(1+G114)*(1+I114)*(1+K114)*(1+M114)*(1+O114)*(1+Q114)*(1+S114)*(1+U114)*(1+W114)*(1+Y114)</f>
        <v>0.1995505031</v>
      </c>
      <c r="AA114" s="65"/>
      <c r="AB114" s="50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ht="12.75" customHeight="1">
      <c r="A115" s="86"/>
      <c r="B115" s="86"/>
      <c r="C115" s="80"/>
      <c r="D115" s="86"/>
      <c r="E115" s="80"/>
      <c r="F115" s="86"/>
      <c r="G115" s="80"/>
      <c r="H115" s="86"/>
      <c r="I115" s="80"/>
      <c r="J115" s="86"/>
      <c r="K115" s="80"/>
      <c r="L115" s="86"/>
      <c r="M115" s="80"/>
      <c r="N115" s="86"/>
      <c r="O115" s="80"/>
      <c r="P115" s="86"/>
      <c r="Q115" s="80"/>
      <c r="R115" s="86"/>
      <c r="S115" s="80"/>
      <c r="T115" s="86"/>
      <c r="U115" s="80"/>
      <c r="V115" s="86"/>
      <c r="W115" s="80"/>
      <c r="X115" s="86"/>
      <c r="Y115" s="80"/>
      <c r="Z115" s="86"/>
      <c r="AA115" s="65"/>
      <c r="AB115" s="50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ht="12.75" customHeight="1">
      <c r="A116" s="16" t="s">
        <v>111</v>
      </c>
      <c r="B116" s="16"/>
      <c r="C116" s="87">
        <f>C20-C113</f>
        <v>-22.265</v>
      </c>
      <c r="D116" s="16"/>
      <c r="E116" s="87">
        <f>E20-E113</f>
        <v>-12.765</v>
      </c>
      <c r="F116" s="16"/>
      <c r="G116" s="87">
        <f>G20-G113</f>
        <v>-62.165</v>
      </c>
      <c r="H116" s="16"/>
      <c r="I116" s="87">
        <f>I20-I113</f>
        <v>-110.765</v>
      </c>
      <c r="J116" s="16"/>
      <c r="K116" s="87">
        <f>K20-K113</f>
        <v>-2442.81</v>
      </c>
      <c r="L116" s="16"/>
      <c r="M116" s="87">
        <f>M20-M113</f>
        <v>-2584.81</v>
      </c>
      <c r="N116" s="16"/>
      <c r="O116" s="87">
        <f>O20-O113</f>
        <v>-2404.81</v>
      </c>
      <c r="P116" s="16"/>
      <c r="Q116" s="87">
        <f>Q20-Q113</f>
        <v>-2579.72</v>
      </c>
      <c r="R116" s="16"/>
      <c r="S116" s="87">
        <f>S20-S113</f>
        <v>-2229.81</v>
      </c>
      <c r="T116" s="16"/>
      <c r="U116" s="87">
        <f>U20-U113</f>
        <v>-2547.31</v>
      </c>
      <c r="V116" s="16"/>
      <c r="W116" s="87">
        <f>W20-W113</f>
        <v>-2320.81</v>
      </c>
      <c r="X116" s="16"/>
      <c r="Y116" s="87">
        <f>Y20-Y113</f>
        <v>-2433.81</v>
      </c>
      <c r="Z116" s="87">
        <f>SUM(C116:Y116)</f>
        <v>-19751.85</v>
      </c>
      <c r="AA116" s="65"/>
      <c r="AB116" s="50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ht="12.75" customHeight="1">
      <c r="A117" s="16"/>
      <c r="B117" s="16"/>
      <c r="C117" s="80"/>
      <c r="D117" s="16"/>
      <c r="E117" s="80"/>
      <c r="F117" s="16"/>
      <c r="G117" s="80"/>
      <c r="H117" s="16"/>
      <c r="I117" s="80"/>
      <c r="J117" s="16"/>
      <c r="K117" s="80"/>
      <c r="L117" s="16"/>
      <c r="M117" s="80"/>
      <c r="N117" s="16"/>
      <c r="O117" s="80"/>
      <c r="P117" s="16"/>
      <c r="Q117" s="80"/>
      <c r="R117" s="16"/>
      <c r="S117" s="80"/>
      <c r="T117" s="16"/>
      <c r="U117" s="80"/>
      <c r="V117" s="16"/>
      <c r="W117" s="80"/>
      <c r="X117" s="16"/>
      <c r="Y117" s="80"/>
      <c r="Z117" s="86"/>
      <c r="AA117" s="65"/>
      <c r="AB117" s="50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ht="12.75" customHeight="1">
      <c r="A118" s="72" t="s">
        <v>112</v>
      </c>
      <c r="B118" s="16"/>
      <c r="C118" s="87">
        <f>IF(C116&lt;0,C116,0)</f>
        <v>-22.265</v>
      </c>
      <c r="D118" s="16"/>
      <c r="E118" s="87">
        <f>IF(E116&lt;0,E116,0)</f>
        <v>-12.765</v>
      </c>
      <c r="F118" s="16"/>
      <c r="G118" s="87">
        <f>IF(G116&lt;0,G116,0)</f>
        <v>-62.165</v>
      </c>
      <c r="H118" s="16"/>
      <c r="I118" s="87">
        <f>IF(I116&lt;0,I116,0)</f>
        <v>-110.765</v>
      </c>
      <c r="J118" s="16"/>
      <c r="K118" s="87">
        <f>IF(K116&lt;0,K116,0)</f>
        <v>-2442.81</v>
      </c>
      <c r="L118" s="16"/>
      <c r="M118" s="87">
        <f>IF(M116&lt;0,M116,0)</f>
        <v>-2584.81</v>
      </c>
      <c r="N118" s="16"/>
      <c r="O118" s="87">
        <f>IF(O116&lt;0,O116,0)</f>
        <v>-2404.81</v>
      </c>
      <c r="P118" s="16"/>
      <c r="Q118" s="87">
        <f>IF(Q116&lt;0,Q116,0)</f>
        <v>-2579.72</v>
      </c>
      <c r="R118" s="16"/>
      <c r="S118" s="87">
        <f>IF(S116&lt;0,S116,0)</f>
        <v>-2229.81</v>
      </c>
      <c r="T118" s="16"/>
      <c r="U118" s="87">
        <f>IF(U116&lt;0,U116,0)</f>
        <v>-2547.31</v>
      </c>
      <c r="V118" s="16"/>
      <c r="W118" s="87">
        <f>IF(W116&lt;0,W116,0)</f>
        <v>-2320.81</v>
      </c>
      <c r="X118" s="16"/>
      <c r="Y118" s="87">
        <f>IF(Y116&lt;0,Y116,0)</f>
        <v>-2433.81</v>
      </c>
      <c r="Z118" s="87">
        <f>SUM(C118:Y118)</f>
        <v>-19751.85</v>
      </c>
      <c r="AA118" s="65"/>
      <c r="AB118" s="50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ht="12.0" customHeight="1">
      <c r="A119" s="75"/>
      <c r="B119" s="88"/>
      <c r="C119" s="88"/>
      <c r="D119" s="88"/>
      <c r="E119" s="89"/>
      <c r="F119" s="88"/>
      <c r="G119" s="89"/>
      <c r="H119" s="88"/>
      <c r="I119" s="89"/>
      <c r="J119" s="88"/>
      <c r="K119" s="89"/>
      <c r="L119" s="88"/>
      <c r="M119" s="89"/>
      <c r="N119" s="88"/>
      <c r="O119" s="89"/>
      <c r="P119" s="88"/>
      <c r="Q119" s="89"/>
      <c r="R119" s="88"/>
      <c r="S119" s="89"/>
      <c r="T119" s="88"/>
      <c r="U119" s="89"/>
      <c r="V119" s="88"/>
      <c r="W119" s="89"/>
      <c r="X119" s="88"/>
      <c r="Y119" s="89"/>
      <c r="Z119" s="90"/>
      <c r="AA119" s="55"/>
      <c r="AB119" s="56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ht="15.0" hidden="1" customHeight="1">
      <c r="A121" s="91" t="s">
        <v>113</v>
      </c>
      <c r="B121" s="11" t="s">
        <v>2</v>
      </c>
      <c r="C121" s="92">
        <v>45658.0</v>
      </c>
      <c r="D121" s="11" t="s">
        <v>2</v>
      </c>
      <c r="E121" s="92">
        <v>45689.0</v>
      </c>
      <c r="F121" s="11" t="s">
        <v>2</v>
      </c>
      <c r="G121" s="92">
        <v>45717.0</v>
      </c>
      <c r="H121" s="11" t="s">
        <v>2</v>
      </c>
      <c r="I121" s="92">
        <v>44287.0</v>
      </c>
      <c r="J121" s="11" t="s">
        <v>2</v>
      </c>
      <c r="K121" s="92">
        <v>44317.0</v>
      </c>
      <c r="L121" s="11" t="s">
        <v>2</v>
      </c>
      <c r="M121" s="92">
        <v>44348.0</v>
      </c>
      <c r="N121" s="11" t="s">
        <v>2</v>
      </c>
      <c r="O121" s="92">
        <v>44378.0</v>
      </c>
      <c r="P121" s="11" t="s">
        <v>2</v>
      </c>
      <c r="Q121" s="92">
        <v>44409.0</v>
      </c>
      <c r="R121" s="11" t="s">
        <v>2</v>
      </c>
      <c r="S121" s="92">
        <v>44440.0</v>
      </c>
      <c r="T121" s="11" t="s">
        <v>2</v>
      </c>
      <c r="U121" s="92">
        <v>44470.0</v>
      </c>
      <c r="V121" s="11" t="s">
        <v>2</v>
      </c>
      <c r="W121" s="92">
        <v>44501.0</v>
      </c>
      <c r="X121" s="11" t="s">
        <v>2</v>
      </c>
      <c r="Y121" s="92">
        <v>44531.0</v>
      </c>
      <c r="Z121" s="93" t="s">
        <v>3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ht="15.0" hidden="1" customHeight="1">
      <c r="A122" s="94" t="s">
        <v>114</v>
      </c>
      <c r="B122" s="95">
        <f t="shared" ref="B122:B125" si="95">IFERROR(C122/C$20,0)</f>
        <v>0.55</v>
      </c>
      <c r="C122" s="96">
        <f>IFERROR(C$20*55%,0)</f>
        <v>1103.6685</v>
      </c>
      <c r="D122" s="95">
        <f t="shared" ref="D122:D125" si="96">IFERROR(E122/E$20,0)</f>
        <v>0.55</v>
      </c>
      <c r="E122" s="96">
        <f>IFERROR(E$20*55%,0)</f>
        <v>1491.9685</v>
      </c>
      <c r="F122" s="95">
        <f t="shared" ref="F122:F125" si="97">IFERROR(G122/G$20,0)</f>
        <v>0.55</v>
      </c>
      <c r="G122" s="96">
        <f>IFERROR(G$20*55%,0)</f>
        <v>1519.7985</v>
      </c>
      <c r="H122" s="95">
        <f t="shared" ref="H122:H125" si="98">IFERROR(I122/I$20,0)</f>
        <v>0.55</v>
      </c>
      <c r="I122" s="96">
        <f>IFERROR(I$20*55%,0)</f>
        <v>1435.3185</v>
      </c>
      <c r="J122" s="95">
        <f t="shared" ref="J122:J125" si="99">IFERROR(K122/K$20,0)</f>
        <v>0</v>
      </c>
      <c r="K122" s="96">
        <f>IFERROR(K$20*55%,0)</f>
        <v>0</v>
      </c>
      <c r="L122" s="95">
        <f t="shared" ref="L122:L125" si="100">IFERROR(M122/M$20,0)</f>
        <v>0</v>
      </c>
      <c r="M122" s="96">
        <f>IFERROR(M$20*55%,0)</f>
        <v>0</v>
      </c>
      <c r="N122" s="95">
        <f t="shared" ref="N122:N125" si="101">IFERROR(O122/O$20,0)</f>
        <v>0</v>
      </c>
      <c r="O122" s="96">
        <f>IFERROR(O$20*55%,0)</f>
        <v>0</v>
      </c>
      <c r="P122" s="95">
        <f t="shared" ref="P122:P125" si="102">IFERROR(Q122/Q$20,0)</f>
        <v>0.55</v>
      </c>
      <c r="Q122" s="96">
        <f>IFERROR(Q$20*55%,0)</f>
        <v>550</v>
      </c>
      <c r="R122" s="95">
        <f t="shared" ref="R122:R125" si="103">IFERROR(S122/S$20,0)</f>
        <v>0</v>
      </c>
      <c r="S122" s="96">
        <f>IFERROR(S$20*55%,0)</f>
        <v>0</v>
      </c>
      <c r="T122" s="95">
        <f t="shared" ref="T122:T125" si="104">IFERROR(U122/U$20,0)</f>
        <v>0</v>
      </c>
      <c r="U122" s="96">
        <f>IFERROR(U$20*55%,0)</f>
        <v>0</v>
      </c>
      <c r="V122" s="95">
        <f t="shared" ref="V122:V125" si="105">IFERROR(W122/W$20,0)</f>
        <v>0.55</v>
      </c>
      <c r="W122" s="96">
        <f>IFERROR(W$20*55%,0)</f>
        <v>550</v>
      </c>
      <c r="X122" s="95">
        <f t="shared" ref="X122:X125" si="106">IFERROR(Y122/Y$20,0)</f>
        <v>0</v>
      </c>
      <c r="Y122" s="96">
        <f>IFERROR(Y$20*55%,0)</f>
        <v>0</v>
      </c>
      <c r="Z122" s="62">
        <f t="shared" ref="Z122:Z125" si="107">C122+E122+G122+I122+K122+M122+O122+O122+Q122+S122+U122+W122+Y122</f>
        <v>6650.754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ht="15.0" hidden="1" customHeight="1">
      <c r="A123" s="97" t="s">
        <v>115</v>
      </c>
      <c r="B123" s="33">
        <f t="shared" si="95"/>
        <v>0.05</v>
      </c>
      <c r="C123" s="98">
        <f>IFERROR(C$20*5%,0)</f>
        <v>100.3335</v>
      </c>
      <c r="D123" s="33">
        <f t="shared" si="96"/>
        <v>0.05</v>
      </c>
      <c r="E123" s="98">
        <f>IFERROR(E$20*5%,0)</f>
        <v>135.6335</v>
      </c>
      <c r="F123" s="33">
        <f t="shared" si="97"/>
        <v>0.05</v>
      </c>
      <c r="G123" s="98">
        <f>IFERROR(G$20*5%,0)</f>
        <v>138.1635</v>
      </c>
      <c r="H123" s="33">
        <f t="shared" si="98"/>
        <v>0.05</v>
      </c>
      <c r="I123" s="98">
        <f>IFERROR(I$20*5%,0)</f>
        <v>130.4835</v>
      </c>
      <c r="J123" s="33">
        <f t="shared" si="99"/>
        <v>0</v>
      </c>
      <c r="K123" s="98">
        <f>IFERROR(K$20*5%,0)</f>
        <v>0</v>
      </c>
      <c r="L123" s="33">
        <f t="shared" si="100"/>
        <v>0</v>
      </c>
      <c r="M123" s="98">
        <f>IFERROR(M$20*5%,0)</f>
        <v>0</v>
      </c>
      <c r="N123" s="33">
        <f t="shared" si="101"/>
        <v>0</v>
      </c>
      <c r="O123" s="98">
        <f>IFERROR(O$20*5%,0)</f>
        <v>0</v>
      </c>
      <c r="P123" s="33">
        <f t="shared" si="102"/>
        <v>0.05</v>
      </c>
      <c r="Q123" s="98">
        <f>IFERROR(Q$20*5%,0)</f>
        <v>50</v>
      </c>
      <c r="R123" s="33">
        <f t="shared" si="103"/>
        <v>0</v>
      </c>
      <c r="S123" s="98">
        <f>IFERROR(S$20*5%,0)</f>
        <v>0</v>
      </c>
      <c r="T123" s="33">
        <f t="shared" si="104"/>
        <v>0</v>
      </c>
      <c r="U123" s="98">
        <f>IFERROR(U$20*5%,0)</f>
        <v>0</v>
      </c>
      <c r="V123" s="33">
        <f t="shared" si="105"/>
        <v>0.05</v>
      </c>
      <c r="W123" s="98">
        <f>IFERROR(W$20*5%,0)</f>
        <v>50</v>
      </c>
      <c r="X123" s="33">
        <f t="shared" si="106"/>
        <v>0</v>
      </c>
      <c r="Y123" s="98">
        <f>IFERROR(Y$20*5%,0)</f>
        <v>0</v>
      </c>
      <c r="Z123" s="79">
        <f t="shared" si="107"/>
        <v>604.614</v>
      </c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ht="15.0" hidden="1" customHeight="1">
      <c r="A124" s="97" t="s">
        <v>116</v>
      </c>
      <c r="B124" s="33">
        <f t="shared" si="95"/>
        <v>0.1</v>
      </c>
      <c r="C124" s="98">
        <f>IFERROR(C$20*10%,0)</f>
        <v>200.667</v>
      </c>
      <c r="D124" s="33">
        <f t="shared" si="96"/>
        <v>0.1</v>
      </c>
      <c r="E124" s="98">
        <f>IFERROR(E$20*10%,0)</f>
        <v>271.267</v>
      </c>
      <c r="F124" s="33">
        <f t="shared" si="97"/>
        <v>0.1</v>
      </c>
      <c r="G124" s="98">
        <f>IFERROR(G$20*10%,0)</f>
        <v>276.327</v>
      </c>
      <c r="H124" s="33">
        <f t="shared" si="98"/>
        <v>0.1</v>
      </c>
      <c r="I124" s="98">
        <f>IFERROR(I$20*10%,0)</f>
        <v>260.967</v>
      </c>
      <c r="J124" s="33">
        <f t="shared" si="99"/>
        <v>0</v>
      </c>
      <c r="K124" s="98">
        <f>IFERROR(K$20*10%,0)</f>
        <v>0</v>
      </c>
      <c r="L124" s="33">
        <f t="shared" si="100"/>
        <v>0</v>
      </c>
      <c r="M124" s="98">
        <f>IFERROR(M$20*10%,0)</f>
        <v>0</v>
      </c>
      <c r="N124" s="33">
        <f t="shared" si="101"/>
        <v>0</v>
      </c>
      <c r="O124" s="98">
        <f>IFERROR(O$20*10%,0)</f>
        <v>0</v>
      </c>
      <c r="P124" s="33">
        <f t="shared" si="102"/>
        <v>0.1</v>
      </c>
      <c r="Q124" s="98">
        <f>IFERROR(Q$20*10%,0)</f>
        <v>100</v>
      </c>
      <c r="R124" s="33">
        <f t="shared" si="103"/>
        <v>0</v>
      </c>
      <c r="S124" s="98">
        <f>IFERROR(S$20*10%,0)</f>
        <v>0</v>
      </c>
      <c r="T124" s="33">
        <f t="shared" si="104"/>
        <v>0</v>
      </c>
      <c r="U124" s="98">
        <f>IFERROR(U$20*10%,0)</f>
        <v>0</v>
      </c>
      <c r="V124" s="33">
        <f t="shared" si="105"/>
        <v>0.1</v>
      </c>
      <c r="W124" s="98">
        <f>IFERROR(W$20*10%,0)</f>
        <v>100</v>
      </c>
      <c r="X124" s="33">
        <f t="shared" si="106"/>
        <v>0</v>
      </c>
      <c r="Y124" s="98">
        <f>IFERROR(Y$20*10%,0)</f>
        <v>0</v>
      </c>
      <c r="Z124" s="79">
        <f t="shared" si="107"/>
        <v>1209.228</v>
      </c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ht="15.0" hidden="1" customHeight="1">
      <c r="A125" s="97" t="s">
        <v>117</v>
      </c>
      <c r="B125" s="33">
        <f t="shared" si="95"/>
        <v>0.0545</v>
      </c>
      <c r="C125" s="98">
        <f>IFERROR(C$20*5.45%,0)</f>
        <v>109.363515</v>
      </c>
      <c r="D125" s="33">
        <f t="shared" si="96"/>
        <v>0.055</v>
      </c>
      <c r="E125" s="98">
        <f>IFERROR(E$20*5.5%,0)</f>
        <v>149.19685</v>
      </c>
      <c r="F125" s="33">
        <f t="shared" si="97"/>
        <v>0.055</v>
      </c>
      <c r="G125" s="98">
        <f>IFERROR(G$20*5.5%,0)</f>
        <v>151.97985</v>
      </c>
      <c r="H125" s="33">
        <f t="shared" si="98"/>
        <v>0.3</v>
      </c>
      <c r="I125" s="98">
        <f>IFERROR(I$20*30%,0)</f>
        <v>782.901</v>
      </c>
      <c r="J125" s="33">
        <f t="shared" si="99"/>
        <v>0</v>
      </c>
      <c r="K125" s="98">
        <f>IFERROR(K$20*30%,0)</f>
        <v>0</v>
      </c>
      <c r="L125" s="33">
        <f t="shared" si="100"/>
        <v>0</v>
      </c>
      <c r="M125" s="98">
        <f>IFERROR(M$20*30%,0)</f>
        <v>0</v>
      </c>
      <c r="N125" s="33">
        <f t="shared" si="101"/>
        <v>0</v>
      </c>
      <c r="O125" s="98">
        <f>IFERROR(O$20*30%,0)</f>
        <v>0</v>
      </c>
      <c r="P125" s="33">
        <f t="shared" si="102"/>
        <v>0.3</v>
      </c>
      <c r="Q125" s="98">
        <f>IFERROR(Q$20*30%,0)</f>
        <v>300</v>
      </c>
      <c r="R125" s="33">
        <f t="shared" si="103"/>
        <v>0</v>
      </c>
      <c r="S125" s="98">
        <f>IFERROR(S$20*30%,0)</f>
        <v>0</v>
      </c>
      <c r="T125" s="33">
        <f t="shared" si="104"/>
        <v>0</v>
      </c>
      <c r="U125" s="98">
        <f>IFERROR(U$20*30%,0)</f>
        <v>0</v>
      </c>
      <c r="V125" s="33">
        <f t="shared" si="105"/>
        <v>0.3</v>
      </c>
      <c r="W125" s="98">
        <f>IFERROR(W$20*30%,0)</f>
        <v>300</v>
      </c>
      <c r="X125" s="33">
        <f t="shared" si="106"/>
        <v>0</v>
      </c>
      <c r="Y125" s="98">
        <f>IFERROR(Y$20*30%,0)</f>
        <v>0</v>
      </c>
      <c r="Z125" s="79">
        <f t="shared" si="107"/>
        <v>1793.441215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ht="15.0" hidden="1" customHeight="1">
      <c r="A126" s="99"/>
      <c r="B126" s="100">
        <f>SUM(B122:B125)</f>
        <v>0.7545</v>
      </c>
      <c r="C126" s="101"/>
      <c r="D126" s="100">
        <f>SUM(D122:D125)</f>
        <v>0.755</v>
      </c>
      <c r="E126" s="101"/>
      <c r="F126" s="100">
        <f>SUM(F122:F125)</f>
        <v>0.755</v>
      </c>
      <c r="G126" s="101"/>
      <c r="H126" s="100">
        <f>SUM(H122:H125)</f>
        <v>1</v>
      </c>
      <c r="I126" s="101"/>
      <c r="J126" s="100">
        <f>SUM(J122:J125)</f>
        <v>0</v>
      </c>
      <c r="K126" s="101"/>
      <c r="L126" s="100">
        <f>SUM(L122:L125)</f>
        <v>0</v>
      </c>
      <c r="M126" s="101"/>
      <c r="N126" s="100">
        <f>SUM(N122:N125)</f>
        <v>0</v>
      </c>
      <c r="O126" s="101"/>
      <c r="P126" s="100">
        <f>SUM(P122:P125)</f>
        <v>1</v>
      </c>
      <c r="Q126" s="101"/>
      <c r="R126" s="100">
        <f>SUM(R122:R125)</f>
        <v>0</v>
      </c>
      <c r="S126" s="101"/>
      <c r="T126" s="100">
        <f>SUM(T122:T125)</f>
        <v>0</v>
      </c>
      <c r="U126" s="101"/>
      <c r="V126" s="100">
        <f>SUM(V122:V125)</f>
        <v>1</v>
      </c>
      <c r="W126" s="101"/>
      <c r="X126" s="100">
        <f>SUM(X122:X125)</f>
        <v>0</v>
      </c>
      <c r="Y126" s="101"/>
      <c r="Z126" s="102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8"/>
      <c r="AB127" s="56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ht="15.0" customHeight="1">
      <c r="A128" s="99"/>
      <c r="B128" s="103"/>
      <c r="C128" s="102"/>
      <c r="D128" s="104"/>
      <c r="E128" s="102"/>
      <c r="F128" s="104"/>
      <c r="G128" s="102"/>
      <c r="H128" s="104"/>
      <c r="I128" s="102"/>
      <c r="J128" s="104"/>
      <c r="K128" s="102"/>
      <c r="L128" s="104"/>
      <c r="M128" s="102"/>
      <c r="N128" s="104"/>
      <c r="O128" s="102"/>
      <c r="P128" s="104"/>
      <c r="Q128" s="102"/>
      <c r="R128" s="104"/>
      <c r="S128" s="102"/>
      <c r="T128" s="104"/>
      <c r="U128" s="102"/>
      <c r="V128" s="104"/>
      <c r="W128" s="102"/>
      <c r="X128" s="104"/>
      <c r="Y128" s="102"/>
      <c r="Z128" s="102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ht="15.0" customHeight="1">
      <c r="A129" s="99"/>
      <c r="B129" s="103"/>
      <c r="C129" s="102"/>
      <c r="D129" s="104"/>
      <c r="E129" s="102"/>
      <c r="F129" s="104"/>
      <c r="G129" s="102"/>
      <c r="H129" s="104"/>
      <c r="I129" s="102"/>
      <c r="J129" s="104"/>
      <c r="K129" s="102"/>
      <c r="L129" s="104"/>
      <c r="M129" s="102"/>
      <c r="N129" s="104"/>
      <c r="O129" s="102"/>
      <c r="P129" s="104"/>
      <c r="Q129" s="102"/>
      <c r="R129" s="104"/>
      <c r="S129" s="102"/>
      <c r="T129" s="104"/>
      <c r="U129" s="102"/>
      <c r="V129" s="104"/>
      <c r="W129" s="102"/>
      <c r="X129" s="104"/>
      <c r="Y129" s="102"/>
      <c r="Z129" s="102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ht="15.0" customHeight="1">
      <c r="A130" s="99"/>
      <c r="B130" s="103"/>
      <c r="C130" s="102"/>
      <c r="D130" s="104"/>
      <c r="E130" s="102"/>
      <c r="F130" s="104"/>
      <c r="G130" s="102"/>
      <c r="H130" s="104"/>
      <c r="I130" s="102"/>
      <c r="J130" s="104"/>
      <c r="K130" s="102"/>
      <c r="L130" s="104"/>
      <c r="M130" s="102"/>
      <c r="N130" s="104"/>
      <c r="O130" s="102"/>
      <c r="P130" s="104"/>
      <c r="Q130" s="102"/>
      <c r="R130" s="104"/>
      <c r="S130" s="102"/>
      <c r="T130" s="104"/>
      <c r="U130" s="102"/>
      <c r="V130" s="104"/>
      <c r="W130" s="102"/>
      <c r="X130" s="104"/>
      <c r="Y130" s="102"/>
      <c r="Z130" s="102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ht="15.0" customHeight="1">
      <c r="A131" s="99"/>
      <c r="B131" s="103"/>
      <c r="C131" s="102"/>
      <c r="D131" s="104"/>
      <c r="E131" s="102"/>
      <c r="F131" s="104"/>
      <c r="G131" s="102"/>
      <c r="H131" s="104"/>
      <c r="I131" s="102"/>
      <c r="J131" s="104"/>
      <c r="K131" s="102"/>
      <c r="L131" s="104"/>
      <c r="M131" s="102"/>
      <c r="N131" s="104"/>
      <c r="O131" s="102"/>
      <c r="P131" s="104"/>
      <c r="Q131" s="102"/>
      <c r="R131" s="104"/>
      <c r="S131" s="102"/>
      <c r="T131" s="104"/>
      <c r="U131" s="102"/>
      <c r="V131" s="104"/>
      <c r="W131" s="102"/>
      <c r="X131" s="104"/>
      <c r="Y131" s="102"/>
      <c r="Z131" s="102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ht="12.75" customHeight="1">
      <c r="A132" s="56"/>
      <c r="B132" s="105" t="s">
        <v>118</v>
      </c>
      <c r="Z132" s="56"/>
      <c r="AA132" s="55"/>
      <c r="AB132" s="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ht="12.75" customHeight="1">
      <c r="A133" s="56"/>
      <c r="Z133" s="56"/>
      <c r="AA133" s="55"/>
      <c r="AB133" s="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ht="12.75" customHeight="1">
      <c r="A134" s="56"/>
      <c r="Z134" s="56"/>
      <c r="AA134" s="55"/>
      <c r="AB134" s="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ht="12.75" customHeight="1">
      <c r="A135" s="56"/>
      <c r="Z135" s="56"/>
      <c r="AA135" s="55"/>
      <c r="AB135" s="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ht="12.0" customHeight="1">
      <c r="A136" s="56"/>
      <c r="Z136" s="56"/>
      <c r="AA136" s="55"/>
      <c r="AB136" s="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ht="12.0" customHeight="1">
      <c r="A137" s="106"/>
      <c r="Z137" s="56"/>
      <c r="AA137" s="55"/>
      <c r="AB137" s="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ht="12.75" customHeight="1">
      <c r="A138" s="107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5"/>
      <c r="AB138" s="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ht="12.0" customHeight="1">
      <c r="A139" s="50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0"/>
      <c r="AA139" s="56"/>
      <c r="AB139" s="56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ht="12.0" customHeight="1">
      <c r="A140" s="50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0"/>
      <c r="AA140" s="56"/>
      <c r="AB140" s="56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ht="12.0" customHeight="1">
      <c r="A141" s="50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0"/>
      <c r="AA141" s="56"/>
      <c r="AB141" s="56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</row>
  </sheetData>
  <mergeCells count="2">
    <mergeCell ref="A1:Z4"/>
    <mergeCell ref="B132:Y137"/>
  </mergeCells>
  <conditionalFormatting sqref="B29 D29 F29 H29 J29 L29 N29 P29 R29 T29 V29 X29">
    <cfRule type="cellIs" dxfId="0" priority="1" operator="equal">
      <formula>0.3</formula>
    </cfRule>
  </conditionalFormatting>
  <conditionalFormatting sqref="B29 D29 F29 H29 J29 L29 N29 P29 R29 T29 V29 X29">
    <cfRule type="cellIs" dxfId="1" priority="2" operator="lessThan">
      <formula>0.3</formula>
    </cfRule>
  </conditionalFormatting>
  <conditionalFormatting sqref="B81 D81 F81 H81 J81 L81 N81 P81 R81 T81 V81 X81">
    <cfRule type="cellIs" dxfId="0" priority="3" operator="lessThan">
      <formula>0.55</formula>
    </cfRule>
  </conditionalFormatting>
  <conditionalFormatting sqref="B81 D81 F81 H81 J81 L81 N81 P81 R81 T81 V81 X81">
    <cfRule type="cellIs" dxfId="1" priority="4" operator="greaterThan">
      <formula>0.55</formula>
    </cfRule>
  </conditionalFormatting>
  <conditionalFormatting sqref="B87 D87 F87 H87 J87 L87 N87 P87 R87 T87 V87 X87">
    <cfRule type="cellIs" dxfId="0" priority="5" operator="lessThan">
      <formula>5%</formula>
    </cfRule>
  </conditionalFormatting>
  <conditionalFormatting sqref="B87 D87 F87 H87 J87 L87 N87 P87 R87 T87 V87 X87">
    <cfRule type="cellIs" dxfId="1" priority="6" operator="greaterThan">
      <formula>5%</formula>
    </cfRule>
  </conditionalFormatting>
  <conditionalFormatting sqref="B111 D111 F111 H111 J111 L111 N111 P111 R111 T111 V111 X111">
    <cfRule type="cellIs" dxfId="0" priority="7" operator="lessThan">
      <formula>10%</formula>
    </cfRule>
  </conditionalFormatting>
  <conditionalFormatting sqref="B111 D111 F111 H111 J111 L111 N111 P111 R111 T111 V111 X111">
    <cfRule type="cellIs" dxfId="1" priority="8" operator="greaterThan">
      <formula>10%</formula>
    </cfRule>
  </conditionalFormatting>
  <conditionalFormatting sqref="C22 E22 G22 I22 K22 M22 O22 Q22 S22 U22 W22 Y22">
    <cfRule type="cellIs" dxfId="0" priority="9" operator="greaterThanOrEqual">
      <formula>$C$29</formula>
    </cfRule>
  </conditionalFormatting>
  <conditionalFormatting sqref="C22 E22 G22 I22 K22 M22 O22 Q22 S22 U22 W22 Y22">
    <cfRule type="cellIs" dxfId="1" priority="10" operator="lessThan">
      <formula>$C$29</formula>
    </cfRule>
  </conditionalFormatting>
  <conditionalFormatting sqref="C116 E116 G116 I116 K116 M116 O116 Q116 S116 U116 W116 Y116:Z116 Y118:Z118">
    <cfRule type="cellIs" dxfId="2" priority="11" operator="greaterThan">
      <formula>0</formula>
    </cfRule>
  </conditionalFormatting>
  <conditionalFormatting sqref="C116 E116 G116 I116 K116 M116 O116 Q116 S116 U116 W116 Y116:Z116 Y118:Z118">
    <cfRule type="cellIs" dxfId="3" priority="12" operator="lessThan">
      <formula>0</formula>
    </cfRule>
  </conditionalFormatting>
  <conditionalFormatting sqref="C118 E118 G118 I118 K118 M118 O118 Q118 S118 U118 W118">
    <cfRule type="cellIs" dxfId="2" priority="13" operator="greaterThan">
      <formula>0</formula>
    </cfRule>
  </conditionalFormatting>
  <conditionalFormatting sqref="C118 E118 G118 I118 K118 M118 O118 Q118 S118 U118 W118">
    <cfRule type="cellIs" dxfId="3" priority="14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7.25"/>
    <col customWidth="1" min="3" max="3" width="24.63"/>
    <col customWidth="1" min="4" max="4" width="8.13"/>
    <col customWidth="1" min="5" max="5" width="7.0"/>
    <col customWidth="1" min="6" max="6" width="2.38"/>
    <col customWidth="1" min="7" max="7" width="40.38"/>
    <col customWidth="1" min="8" max="8" width="43.88"/>
    <col customWidth="1" min="9" max="9" width="12.75"/>
    <col customWidth="1" min="10" max="10" width="10.88"/>
    <col customWidth="1" min="11" max="11" width="7.88"/>
    <col customWidth="1" min="12" max="12" width="15.0"/>
    <col customWidth="1" min="13" max="13" width="6.13"/>
    <col customWidth="1" min="14" max="14" width="19.13"/>
    <col customWidth="1" min="15" max="15" width="7.75"/>
    <col customWidth="1" min="16" max="16" width="6.13"/>
    <col customWidth="1" min="17" max="17" width="9.88"/>
    <col customWidth="1" min="18" max="18" width="14.25"/>
    <col customWidth="1" min="19" max="19" width="8.88"/>
    <col customWidth="1" min="20" max="21" width="6.13"/>
    <col customWidth="1" min="22" max="22" width="7.63"/>
    <col customWidth="1" min="23" max="23" width="7.0"/>
    <col customWidth="1" min="24" max="24" width="4.0"/>
    <col customWidth="1" min="25" max="25" width="3.75"/>
    <col customWidth="1" min="26" max="26" width="6.5"/>
  </cols>
  <sheetData>
    <row r="1" ht="12.75" customHeight="1">
      <c r="A1" s="108"/>
      <c r="B1" s="109" t="s">
        <v>119</v>
      </c>
      <c r="C1" s="110"/>
      <c r="D1" s="111"/>
      <c r="E1" s="112"/>
      <c r="F1" s="113"/>
      <c r="G1" s="114" t="s">
        <v>120</v>
      </c>
      <c r="H1" s="114" t="s">
        <v>121</v>
      </c>
      <c r="I1" s="115" t="s">
        <v>122</v>
      </c>
      <c r="J1" s="115" t="s">
        <v>123</v>
      </c>
      <c r="L1" s="116"/>
      <c r="M1" s="116"/>
      <c r="N1" s="117">
        <v>2024.0</v>
      </c>
      <c r="O1" s="117">
        <v>2025.0</v>
      </c>
      <c r="P1" s="117">
        <v>2026.0</v>
      </c>
      <c r="Q1" s="116"/>
      <c r="R1" s="116"/>
      <c r="S1" s="116"/>
      <c r="T1" s="116"/>
      <c r="U1" s="116"/>
      <c r="V1" s="116"/>
      <c r="W1" s="118"/>
      <c r="X1" s="118"/>
      <c r="Y1" s="118"/>
      <c r="Z1" s="118"/>
    </row>
    <row r="2" ht="12.75" customHeight="1">
      <c r="A2" s="108"/>
      <c r="E2" s="112"/>
      <c r="F2" s="119">
        <v>1.0</v>
      </c>
      <c r="G2" s="120" t="s">
        <v>124</v>
      </c>
      <c r="H2" s="121" t="s">
        <v>125</v>
      </c>
      <c r="I2" s="122"/>
      <c r="J2" s="121"/>
      <c r="L2" s="123"/>
      <c r="M2" s="123"/>
      <c r="N2" s="124" t="s">
        <v>126</v>
      </c>
      <c r="O2" s="124" t="s">
        <v>127</v>
      </c>
      <c r="P2" s="124" t="s">
        <v>128</v>
      </c>
      <c r="Q2" s="124" t="s">
        <v>129</v>
      </c>
      <c r="R2" s="124" t="s">
        <v>130</v>
      </c>
      <c r="S2" s="124" t="s">
        <v>131</v>
      </c>
      <c r="T2" s="124" t="s">
        <v>132</v>
      </c>
      <c r="U2" s="124" t="s">
        <v>133</v>
      </c>
      <c r="V2" s="124" t="s">
        <v>134</v>
      </c>
      <c r="W2" s="124" t="s">
        <v>135</v>
      </c>
      <c r="X2" s="123"/>
      <c r="Y2" s="123"/>
      <c r="Z2" s="125" t="s">
        <v>136</v>
      </c>
    </row>
    <row r="3" ht="12.75" customHeight="1">
      <c r="A3" s="108"/>
      <c r="B3" s="126" t="s">
        <v>137</v>
      </c>
      <c r="C3" s="127" t="s">
        <v>138</v>
      </c>
      <c r="D3" s="127" t="s">
        <v>139</v>
      </c>
      <c r="E3" s="112"/>
      <c r="F3" s="128"/>
      <c r="G3" s="129"/>
      <c r="H3" s="130" t="s">
        <v>140</v>
      </c>
      <c r="I3" s="131"/>
      <c r="J3" s="132">
        <v>45778.0</v>
      </c>
      <c r="L3" s="133" t="s">
        <v>141</v>
      </c>
      <c r="M3" s="134">
        <v>13080.0</v>
      </c>
      <c r="N3" s="134">
        <v>1308.0</v>
      </c>
      <c r="O3" s="134">
        <v>1308.0</v>
      </c>
      <c r="P3" s="134">
        <v>1308.0</v>
      </c>
      <c r="Q3" s="134">
        <v>1308.0</v>
      </c>
      <c r="R3" s="134">
        <v>1308.0</v>
      </c>
      <c r="S3" s="134">
        <v>1308.0</v>
      </c>
      <c r="T3" s="134">
        <v>1308.0</v>
      </c>
      <c r="U3" s="134">
        <v>1308.0</v>
      </c>
      <c r="V3" s="134">
        <v>1308.0</v>
      </c>
      <c r="W3" s="134">
        <v>1308.0</v>
      </c>
      <c r="X3" s="133"/>
      <c r="Y3" s="133"/>
      <c r="Z3" s="135"/>
    </row>
    <row r="4" ht="12.75" customHeight="1">
      <c r="A4" s="108"/>
      <c r="B4" s="127" t="s">
        <v>142</v>
      </c>
      <c r="C4" s="136">
        <v>14000.0</v>
      </c>
      <c r="D4" s="137">
        <f>C4/12</f>
        <v>1166.666667</v>
      </c>
      <c r="E4" s="112"/>
      <c r="F4" s="138"/>
      <c r="G4" s="139"/>
      <c r="H4" s="121" t="s">
        <v>143</v>
      </c>
      <c r="I4" s="140" t="s">
        <v>14</v>
      </c>
      <c r="J4" s="121"/>
      <c r="L4" s="141"/>
      <c r="M4" s="141"/>
      <c r="N4" s="134">
        <v>2616.0</v>
      </c>
      <c r="O4" s="134">
        <v>2616.0</v>
      </c>
      <c r="P4" s="134">
        <v>2616.0</v>
      </c>
      <c r="Q4" s="134">
        <v>2616.0</v>
      </c>
      <c r="R4" s="134">
        <v>2616.0</v>
      </c>
      <c r="S4" s="141"/>
      <c r="T4" s="141"/>
      <c r="U4" s="141"/>
      <c r="V4" s="141"/>
      <c r="W4" s="141"/>
      <c r="X4" s="141"/>
      <c r="Y4" s="141"/>
      <c r="Z4" s="135"/>
    </row>
    <row r="5" ht="12.75" customHeight="1">
      <c r="A5" s="108"/>
      <c r="B5" s="127" t="s">
        <v>144</v>
      </c>
      <c r="C5" s="137">
        <f t="shared" ref="C5:C7" si="1">D5*12</f>
        <v>456</v>
      </c>
      <c r="D5" s="137">
        <v>38.0</v>
      </c>
      <c r="E5" s="112"/>
      <c r="F5" s="113"/>
      <c r="G5" s="142"/>
      <c r="H5" s="142"/>
      <c r="I5" s="143"/>
      <c r="J5" s="142"/>
      <c r="L5" s="144" t="s">
        <v>145</v>
      </c>
      <c r="M5" s="145"/>
      <c r="N5" s="146">
        <v>4360.0</v>
      </c>
      <c r="O5" s="146">
        <v>4360.0</v>
      </c>
      <c r="P5" s="146">
        <v>4360.0</v>
      </c>
      <c r="Q5" s="145"/>
      <c r="R5" s="145"/>
      <c r="S5" s="145"/>
      <c r="T5" s="145"/>
      <c r="U5" s="145"/>
      <c r="V5" s="145"/>
      <c r="W5" s="145"/>
      <c r="X5" s="145"/>
      <c r="Y5" s="145"/>
      <c r="Z5" s="147"/>
    </row>
    <row r="6" ht="12.75" customHeight="1">
      <c r="A6" s="148"/>
      <c r="B6" s="127" t="s">
        <v>146</v>
      </c>
      <c r="C6" s="137">
        <f t="shared" si="1"/>
        <v>192</v>
      </c>
      <c r="D6" s="137">
        <v>16.0</v>
      </c>
      <c r="E6" s="112"/>
      <c r="F6" s="119">
        <v>2.0</v>
      </c>
      <c r="G6" s="149" t="s">
        <v>147</v>
      </c>
      <c r="H6" s="150" t="s">
        <v>148</v>
      </c>
      <c r="I6" s="151">
        <f>244*6</f>
        <v>1464</v>
      </c>
      <c r="J6" s="152" t="s">
        <v>149</v>
      </c>
      <c r="L6" s="118"/>
      <c r="M6" s="118"/>
      <c r="N6" s="153">
        <f>V18</f>
        <v>0.5652</v>
      </c>
      <c r="O6" s="153">
        <f>V20</f>
        <v>1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ht="12.75" customHeight="1">
      <c r="A7" s="148"/>
      <c r="B7" s="127" t="s">
        <v>150</v>
      </c>
      <c r="C7" s="137">
        <f t="shared" si="1"/>
        <v>324</v>
      </c>
      <c r="D7" s="137">
        <v>27.0</v>
      </c>
      <c r="E7" s="112"/>
      <c r="F7" s="138"/>
      <c r="G7" s="139"/>
      <c r="H7" s="150" t="s">
        <v>151</v>
      </c>
      <c r="I7" s="151">
        <f>(244*6)+800</f>
        <v>2264</v>
      </c>
      <c r="J7" s="152" t="s">
        <v>152</v>
      </c>
    </row>
    <row r="8" ht="12.75" customHeight="1">
      <c r="A8" s="108"/>
      <c r="B8" s="112"/>
      <c r="C8" s="137">
        <f>SUM(C4:C7)</f>
        <v>14972</v>
      </c>
      <c r="D8" s="137">
        <v>1006.0</v>
      </c>
      <c r="E8" s="112"/>
      <c r="F8" s="113"/>
      <c r="G8" s="142"/>
      <c r="H8" s="142"/>
      <c r="I8" s="143"/>
      <c r="J8" s="142"/>
    </row>
    <row r="9" ht="12.75" customHeight="1">
      <c r="A9" s="108"/>
      <c r="B9" s="127" t="s">
        <v>153</v>
      </c>
      <c r="C9" s="137">
        <f>D9*12</f>
        <v>1509</v>
      </c>
      <c r="D9" s="137">
        <f>D8*12.5%</f>
        <v>125.75</v>
      </c>
      <c r="E9" s="112"/>
      <c r="F9" s="113">
        <v>3.0</v>
      </c>
      <c r="G9" s="142" t="s">
        <v>154</v>
      </c>
      <c r="H9" s="150" t="s">
        <v>155</v>
      </c>
      <c r="I9" s="154">
        <f>(2500+260)/6</f>
        <v>460</v>
      </c>
      <c r="J9" s="152" t="s">
        <v>149</v>
      </c>
      <c r="L9" s="123"/>
      <c r="M9" s="123"/>
      <c r="N9" s="124" t="s">
        <v>156</v>
      </c>
      <c r="O9" s="124" t="s">
        <v>157</v>
      </c>
      <c r="P9" s="124" t="s">
        <v>158</v>
      </c>
      <c r="Q9" s="124" t="s">
        <v>159</v>
      </c>
      <c r="R9" s="124" t="s">
        <v>160</v>
      </c>
      <c r="S9" s="124" t="s">
        <v>161</v>
      </c>
      <c r="T9" s="124" t="s">
        <v>162</v>
      </c>
      <c r="U9" s="124" t="s">
        <v>163</v>
      </c>
      <c r="V9" s="124" t="s">
        <v>164</v>
      </c>
      <c r="W9" s="124" t="s">
        <v>165</v>
      </c>
      <c r="X9" s="124" t="s">
        <v>166</v>
      </c>
      <c r="Y9" s="124" t="s">
        <v>167</v>
      </c>
      <c r="Z9" s="155"/>
    </row>
    <row r="10" ht="12.75" customHeight="1">
      <c r="A10" s="108"/>
      <c r="B10" s="156" t="s">
        <v>168</v>
      </c>
      <c r="C10" s="157">
        <f>C8-C9</f>
        <v>13463</v>
      </c>
      <c r="D10" s="158">
        <v>880.0</v>
      </c>
      <c r="E10" s="112"/>
      <c r="F10" s="113"/>
      <c r="G10" s="142"/>
      <c r="H10" s="142"/>
      <c r="I10" s="143"/>
      <c r="J10" s="142"/>
      <c r="L10" s="133" t="s">
        <v>169</v>
      </c>
      <c r="M10" s="134">
        <v>4360.0</v>
      </c>
      <c r="N10" s="159">
        <v>363.0</v>
      </c>
      <c r="O10" s="159">
        <v>363.0</v>
      </c>
      <c r="P10" s="159">
        <v>363.0</v>
      </c>
      <c r="Q10" s="159">
        <v>363.0</v>
      </c>
      <c r="R10" s="159">
        <v>363.0</v>
      </c>
      <c r="S10" s="159">
        <v>363.0</v>
      </c>
      <c r="T10" s="160">
        <v>363.0</v>
      </c>
      <c r="U10" s="160">
        <v>363.0</v>
      </c>
      <c r="V10" s="160">
        <v>363.0</v>
      </c>
      <c r="W10" s="160">
        <v>363.0</v>
      </c>
      <c r="X10" s="160">
        <v>363.0</v>
      </c>
      <c r="Y10" s="160">
        <v>363.0</v>
      </c>
      <c r="Z10" s="161">
        <f t="shared" ref="Z10:Z12" si="2">SUM(N10:Y10)</f>
        <v>4356</v>
      </c>
    </row>
    <row r="11" ht="12.75" customHeight="1">
      <c r="A11" s="148"/>
      <c r="B11" s="127" t="s">
        <v>170</v>
      </c>
      <c r="C11" s="112"/>
      <c r="D11" s="137">
        <v>192.0</v>
      </c>
      <c r="E11" s="112"/>
      <c r="F11" s="162">
        <v>4.0</v>
      </c>
      <c r="G11" s="142" t="s">
        <v>171</v>
      </c>
      <c r="H11" s="150" t="s">
        <v>172</v>
      </c>
      <c r="I11" s="151">
        <f>900</f>
        <v>900</v>
      </c>
      <c r="J11" s="152" t="s">
        <v>173</v>
      </c>
      <c r="L11" s="112" t="s">
        <v>174</v>
      </c>
      <c r="M11" s="163" t="s">
        <v>14</v>
      </c>
      <c r="N11" s="163">
        <v>109.0</v>
      </c>
      <c r="O11" s="163">
        <v>109.0</v>
      </c>
      <c r="P11" s="163">
        <v>109.0</v>
      </c>
      <c r="Q11" s="163">
        <v>109.0</v>
      </c>
      <c r="R11" s="163">
        <v>109.0</v>
      </c>
      <c r="S11" s="163">
        <v>109.0</v>
      </c>
      <c r="T11" s="164">
        <v>109.0</v>
      </c>
      <c r="U11" s="164">
        <v>109.0</v>
      </c>
      <c r="V11" s="164">
        <v>109.0</v>
      </c>
      <c r="W11" s="164">
        <v>109.0</v>
      </c>
      <c r="X11" s="164">
        <v>109.0</v>
      </c>
      <c r="Y11" s="165">
        <v>109.0</v>
      </c>
      <c r="Z11" s="161">
        <f t="shared" si="2"/>
        <v>1308</v>
      </c>
    </row>
    <row r="12" ht="12.75" customHeight="1">
      <c r="A12" s="108"/>
      <c r="B12" s="112"/>
      <c r="C12" s="112"/>
      <c r="D12" s="137">
        <v>1072.0</v>
      </c>
      <c r="E12" s="112"/>
      <c r="F12" s="113"/>
      <c r="G12" s="142"/>
      <c r="H12" s="142" t="s">
        <v>14</v>
      </c>
      <c r="I12" s="166" t="s">
        <v>14</v>
      </c>
      <c r="J12" s="142" t="s">
        <v>14</v>
      </c>
      <c r="L12" s="133" t="s">
        <v>175</v>
      </c>
      <c r="M12" s="134">
        <v>4251.0</v>
      </c>
      <c r="N12" s="159">
        <v>254.0</v>
      </c>
      <c r="O12" s="159">
        <v>254.0</v>
      </c>
      <c r="P12" s="159">
        <v>254.0</v>
      </c>
      <c r="Q12" s="159">
        <v>254.0</v>
      </c>
      <c r="R12" s="159">
        <v>254.0</v>
      </c>
      <c r="S12" s="159">
        <v>254.0</v>
      </c>
      <c r="T12" s="167">
        <v>254.0</v>
      </c>
      <c r="U12" s="167">
        <v>254.0</v>
      </c>
      <c r="V12" s="167">
        <v>254.0</v>
      </c>
      <c r="W12" s="167">
        <v>254.0</v>
      </c>
      <c r="X12" s="167">
        <v>254.0</v>
      </c>
      <c r="Y12" s="167">
        <v>254.0</v>
      </c>
      <c r="Z12" s="161">
        <f t="shared" si="2"/>
        <v>3048</v>
      </c>
    </row>
    <row r="13" ht="12.75" customHeight="1">
      <c r="A13" s="4"/>
      <c r="E13" s="112"/>
      <c r="F13" s="113">
        <v>5.0</v>
      </c>
      <c r="G13" s="142" t="s">
        <v>176</v>
      </c>
      <c r="H13" s="150" t="s">
        <v>177</v>
      </c>
      <c r="I13" s="154">
        <f>900</f>
        <v>900</v>
      </c>
      <c r="J13" s="152" t="s">
        <v>152</v>
      </c>
      <c r="L13" s="141"/>
      <c r="M13" s="133"/>
      <c r="N13" s="141"/>
      <c r="O13" s="141"/>
      <c r="P13" s="141"/>
      <c r="Q13" s="141"/>
      <c r="R13" s="133" t="s">
        <v>178</v>
      </c>
      <c r="S13" s="134">
        <f t="shared" ref="S13:S14" si="3">SUM(N10:S10)</f>
        <v>2178</v>
      </c>
      <c r="T13" s="141"/>
      <c r="U13" s="141"/>
      <c r="V13" s="141"/>
      <c r="W13" s="141"/>
      <c r="Z13" s="135"/>
    </row>
    <row r="14" ht="12.75" customHeight="1">
      <c r="A14" s="168"/>
      <c r="E14" s="112"/>
      <c r="F14" s="112"/>
      <c r="G14" s="169"/>
      <c r="H14" s="170" t="s">
        <v>14</v>
      </c>
      <c r="I14" s="171" t="s">
        <v>14</v>
      </c>
      <c r="J14" s="172" t="s">
        <v>14</v>
      </c>
      <c r="L14" s="173"/>
      <c r="M14" s="174">
        <v>6540.0</v>
      </c>
      <c r="N14" s="173"/>
      <c r="O14" s="173"/>
      <c r="P14" s="173"/>
      <c r="Q14" s="173"/>
      <c r="R14" s="175" t="s">
        <v>179</v>
      </c>
      <c r="S14" s="176">
        <f t="shared" si="3"/>
        <v>654</v>
      </c>
      <c r="T14" s="175"/>
      <c r="U14" s="173"/>
      <c r="V14" s="173"/>
      <c r="W14" s="173"/>
      <c r="Z14" s="177"/>
    </row>
    <row r="15" ht="26.25" customHeight="1">
      <c r="A15" s="112"/>
      <c r="B15" s="178" t="s">
        <v>180</v>
      </c>
      <c r="C15" s="179"/>
      <c r="D15" s="180"/>
      <c r="E15" s="112"/>
      <c r="F15" s="112"/>
      <c r="G15" s="112"/>
      <c r="H15" s="112"/>
      <c r="I15" s="181"/>
      <c r="J15" s="112"/>
      <c r="L15" s="182"/>
      <c r="M15" s="183">
        <v>60.0</v>
      </c>
      <c r="N15" s="184"/>
      <c r="O15" s="184"/>
      <c r="P15" s="184"/>
      <c r="Q15" s="184"/>
      <c r="R15" s="185" t="s">
        <v>181</v>
      </c>
      <c r="S15" s="186">
        <f>S13-S14</f>
        <v>1524</v>
      </c>
      <c r="T15" s="184"/>
      <c r="U15" s="184"/>
      <c r="V15" s="184"/>
      <c r="W15" s="187"/>
      <c r="X15" s="182"/>
      <c r="Y15" s="182"/>
      <c r="Z15" s="184"/>
    </row>
    <row r="16" ht="12.75" customHeight="1">
      <c r="A16" s="112"/>
      <c r="B16" s="112"/>
      <c r="C16" s="112"/>
      <c r="D16" s="188"/>
      <c r="E16" s="112"/>
      <c r="F16" s="163"/>
      <c r="G16" s="112"/>
      <c r="H16" s="112" t="s">
        <v>122</v>
      </c>
      <c r="I16" s="112" t="s">
        <v>182</v>
      </c>
      <c r="J16" s="112" t="s">
        <v>183</v>
      </c>
    </row>
    <row r="17" ht="12.75" customHeight="1">
      <c r="A17" s="112"/>
      <c r="B17" s="189" t="s">
        <v>184</v>
      </c>
      <c r="C17" s="190">
        <v>1890.0</v>
      </c>
      <c r="D17" s="191">
        <v>45170.0</v>
      </c>
      <c r="E17" s="112"/>
      <c r="F17" s="112"/>
      <c r="G17" s="112" t="s">
        <v>185</v>
      </c>
      <c r="H17" s="112"/>
      <c r="I17" s="112"/>
      <c r="L17" s="192">
        <v>48.65</v>
      </c>
      <c r="M17" s="193" t="s">
        <v>186</v>
      </c>
      <c r="N17" s="194" t="s">
        <v>187</v>
      </c>
      <c r="O17" s="195">
        <v>109.0</v>
      </c>
      <c r="P17" s="195">
        <v>3.3</v>
      </c>
      <c r="Q17" s="195">
        <v>29.0</v>
      </c>
      <c r="R17" s="195" t="s">
        <v>188</v>
      </c>
      <c r="S17" s="196">
        <v>1410.94</v>
      </c>
      <c r="T17" s="195">
        <v>86.0</v>
      </c>
      <c r="U17" s="197">
        <v>115.0</v>
      </c>
      <c r="V17" s="198">
        <v>0.2522</v>
      </c>
      <c r="W17" s="184"/>
      <c r="X17" s="187"/>
      <c r="Y17" s="199"/>
      <c r="Z17" s="184"/>
    </row>
    <row r="18" ht="13.5" customHeight="1">
      <c r="A18" s="112"/>
      <c r="B18" s="189" t="s">
        <v>189</v>
      </c>
      <c r="C18" s="190">
        <v>1890.0</v>
      </c>
      <c r="D18" s="191">
        <v>45200.0</v>
      </c>
      <c r="E18" s="112"/>
      <c r="F18" s="112"/>
      <c r="G18" s="112" t="s">
        <v>190</v>
      </c>
      <c r="H18" s="112"/>
      <c r="I18" s="112"/>
      <c r="J18" s="112"/>
      <c r="L18" s="184"/>
      <c r="M18" s="200"/>
      <c r="N18" s="184" t="s">
        <v>187</v>
      </c>
      <c r="O18" s="201">
        <v>109.0</v>
      </c>
      <c r="P18" s="183">
        <v>3.3</v>
      </c>
      <c r="Q18" s="183">
        <v>36.0</v>
      </c>
      <c r="R18" s="202">
        <v>45839.0</v>
      </c>
      <c r="S18" s="203">
        <v>1459.59</v>
      </c>
      <c r="T18" s="183">
        <v>50.0</v>
      </c>
      <c r="U18" s="204"/>
      <c r="V18" s="198">
        <v>0.5652</v>
      </c>
      <c r="W18" s="184"/>
      <c r="X18" s="184"/>
      <c r="Y18" s="184"/>
      <c r="Z18" s="184"/>
    </row>
    <row r="19" ht="12.75" customHeight="1">
      <c r="A19" s="112"/>
      <c r="B19" s="189" t="s">
        <v>191</v>
      </c>
      <c r="C19" s="190">
        <v>1260.0</v>
      </c>
      <c r="D19" s="191">
        <v>45231.0</v>
      </c>
      <c r="E19" s="112"/>
      <c r="F19" s="112"/>
      <c r="G19" s="112" t="s">
        <v>192</v>
      </c>
      <c r="H19" s="112"/>
      <c r="I19" s="112"/>
      <c r="J19" s="112"/>
      <c r="L19" s="198">
        <v>1.0</v>
      </c>
      <c r="M19" s="184"/>
      <c r="N19" s="184"/>
      <c r="O19" s="184"/>
      <c r="P19" s="184"/>
      <c r="Q19" s="184"/>
      <c r="R19" s="184"/>
      <c r="S19" s="184"/>
      <c r="T19" s="184"/>
      <c r="U19" s="204"/>
      <c r="V19" s="184"/>
      <c r="W19" s="184"/>
      <c r="X19" s="184"/>
      <c r="Y19" s="184"/>
      <c r="Z19" s="184"/>
    </row>
    <row r="20" ht="12.75" customHeight="1">
      <c r="A20" s="112"/>
      <c r="B20" s="189" t="s">
        <v>193</v>
      </c>
      <c r="C20" s="190">
        <v>1260.0</v>
      </c>
      <c r="D20" s="191">
        <v>45261.0</v>
      </c>
      <c r="E20" s="112"/>
      <c r="F20" s="112"/>
      <c r="G20" s="112" t="s">
        <v>194</v>
      </c>
      <c r="H20" s="112"/>
      <c r="I20" s="112"/>
      <c r="J20" s="112"/>
      <c r="L20" s="184"/>
      <c r="M20" s="193" t="s">
        <v>195</v>
      </c>
      <c r="N20" s="184" t="s">
        <v>187</v>
      </c>
      <c r="O20" s="183">
        <v>109.0</v>
      </c>
      <c r="P20" s="183">
        <v>3.3</v>
      </c>
      <c r="Q20" s="183">
        <v>50.0</v>
      </c>
      <c r="R20" s="183" t="s">
        <v>196</v>
      </c>
      <c r="S20" s="192">
        <v>2140.74</v>
      </c>
      <c r="T20" s="201" t="s">
        <v>197</v>
      </c>
      <c r="U20" s="204"/>
      <c r="V20" s="198">
        <v>1.0</v>
      </c>
      <c r="W20" s="184"/>
      <c r="X20" s="184"/>
      <c r="Y20" s="184"/>
      <c r="Z20" s="184"/>
    </row>
    <row r="21" ht="12.75" customHeight="1">
      <c r="A21" s="112"/>
      <c r="B21" s="189" t="s">
        <v>198</v>
      </c>
      <c r="C21" s="190">
        <v>1260.0</v>
      </c>
      <c r="D21" s="191">
        <v>45292.0</v>
      </c>
      <c r="E21" s="112"/>
      <c r="F21" s="112"/>
      <c r="G21" s="112" t="s">
        <v>199</v>
      </c>
      <c r="H21" s="112"/>
      <c r="I21" s="112"/>
      <c r="J21" s="112"/>
      <c r="L21" s="184"/>
      <c r="M21" s="184"/>
      <c r="N21" s="184" t="s">
        <v>187</v>
      </c>
      <c r="O21" s="201">
        <v>109.0</v>
      </c>
      <c r="P21" s="183">
        <v>3.3</v>
      </c>
      <c r="Q21" s="183" t="s">
        <v>197</v>
      </c>
      <c r="R21" s="183" t="s">
        <v>200</v>
      </c>
      <c r="S21" s="205">
        <v>0.0</v>
      </c>
      <c r="T21" s="184"/>
      <c r="U21" s="206"/>
      <c r="V21" s="198">
        <v>1.0</v>
      </c>
      <c r="W21" s="184"/>
      <c r="X21" s="184"/>
      <c r="Y21" s="184"/>
      <c r="Z21" s="184"/>
    </row>
    <row r="22" ht="12.75" customHeight="1">
      <c r="A22" s="112"/>
      <c r="B22" s="189" t="s">
        <v>201</v>
      </c>
      <c r="C22" s="190">
        <v>1260.0</v>
      </c>
      <c r="D22" s="191">
        <v>45323.0</v>
      </c>
      <c r="E22" s="112"/>
      <c r="F22" s="112"/>
      <c r="G22" s="112" t="s">
        <v>202</v>
      </c>
      <c r="H22" s="112"/>
      <c r="I22" s="112"/>
      <c r="J22" s="181">
        <f>I6+(I6*30%)</f>
        <v>1903.2</v>
      </c>
    </row>
    <row r="23" ht="12.75" customHeight="1">
      <c r="A23" s="112"/>
      <c r="B23" s="207" t="s">
        <v>203</v>
      </c>
      <c r="C23" s="208">
        <v>1260.0</v>
      </c>
      <c r="D23" s="209">
        <v>45352.0</v>
      </c>
      <c r="E23" s="112"/>
      <c r="F23" s="112"/>
      <c r="I23" s="210"/>
    </row>
    <row r="24" ht="12.75" customHeight="1">
      <c r="A24" s="112"/>
      <c r="B24" s="189" t="s">
        <v>204</v>
      </c>
      <c r="C24" s="190">
        <v>1260.0</v>
      </c>
      <c r="D24" s="191">
        <v>45383.0</v>
      </c>
      <c r="E24" s="112"/>
      <c r="F24" s="112"/>
      <c r="I24" s="210"/>
    </row>
    <row r="25" ht="12.75" customHeight="1">
      <c r="A25" s="112"/>
      <c r="B25" s="189" t="s">
        <v>205</v>
      </c>
      <c r="C25" s="190">
        <v>1260.0</v>
      </c>
      <c r="D25" s="191">
        <v>45413.0</v>
      </c>
      <c r="E25" s="112"/>
      <c r="F25" s="112"/>
      <c r="G25" s="99" t="s">
        <v>206</v>
      </c>
      <c r="H25" s="99"/>
      <c r="I25" s="211">
        <f>400</f>
        <v>400</v>
      </c>
      <c r="J25" s="99" t="s">
        <v>207</v>
      </c>
      <c r="L25" s="112"/>
      <c r="M25" s="112"/>
      <c r="N25" s="112"/>
      <c r="O25" s="112"/>
      <c r="P25" s="112"/>
      <c r="Q25" s="112"/>
      <c r="R25" s="188"/>
      <c r="S25" s="112"/>
      <c r="T25" s="112"/>
      <c r="U25" s="112"/>
      <c r="V25" s="169"/>
      <c r="W25" s="112"/>
      <c r="X25" s="112"/>
      <c r="Y25" s="112"/>
      <c r="Z25" s="112"/>
    </row>
    <row r="26" ht="12.75" customHeight="1">
      <c r="A26" s="112"/>
      <c r="B26" s="189" t="s">
        <v>208</v>
      </c>
      <c r="C26" s="190">
        <v>1260.0</v>
      </c>
      <c r="D26" s="191">
        <v>45444.0</v>
      </c>
      <c r="E26" s="112"/>
      <c r="F26" s="112"/>
      <c r="I26" s="210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39.75" customHeight="1">
      <c r="A27" s="112"/>
      <c r="B27" s="189" t="s">
        <v>209</v>
      </c>
      <c r="C27" s="190">
        <v>1260.0</v>
      </c>
      <c r="D27" s="191">
        <v>45474.0</v>
      </c>
      <c r="E27" s="112"/>
      <c r="F27" s="112"/>
      <c r="G27" s="112" t="s">
        <v>210</v>
      </c>
      <c r="H27" s="112"/>
      <c r="I27" s="181"/>
      <c r="J27" s="112"/>
      <c r="L27" s="212">
        <v>46357.0</v>
      </c>
      <c r="M27" s="112"/>
      <c r="N27" s="213" t="s">
        <v>211</v>
      </c>
      <c r="O27" s="180"/>
      <c r="P27" s="214">
        <f>700*3</f>
        <v>2100</v>
      </c>
      <c r="Q27" s="112" t="s">
        <v>212</v>
      </c>
      <c r="R27" s="112">
        <f>6*300</f>
        <v>1800</v>
      </c>
      <c r="S27" s="112" t="s">
        <v>213</v>
      </c>
      <c r="T27" s="112"/>
      <c r="U27" s="112"/>
      <c r="V27" s="112"/>
      <c r="W27" s="112"/>
      <c r="X27" s="112"/>
      <c r="Y27" s="112"/>
      <c r="Z27" s="112"/>
    </row>
    <row r="28" ht="12.75" customHeight="1">
      <c r="A28" s="112"/>
      <c r="B28" s="189" t="s">
        <v>214</v>
      </c>
      <c r="C28" s="190">
        <v>1260.0</v>
      </c>
      <c r="D28" s="191">
        <v>45505.0</v>
      </c>
      <c r="E28" s="112"/>
      <c r="F28" s="112"/>
      <c r="G28" s="112"/>
      <c r="H28" s="112"/>
      <c r="I28" s="181"/>
      <c r="J28" s="112"/>
      <c r="L28" s="112"/>
      <c r="M28" s="112"/>
      <c r="N28" s="112"/>
      <c r="O28" s="112"/>
      <c r="P28" s="214">
        <f>P27</f>
        <v>2100</v>
      </c>
      <c r="Q28" s="112" t="s">
        <v>215</v>
      </c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112"/>
      <c r="B29" s="189" t="s">
        <v>216</v>
      </c>
      <c r="C29" s="190">
        <v>1260.0</v>
      </c>
      <c r="D29" s="191">
        <v>45536.0</v>
      </c>
      <c r="E29" s="112"/>
      <c r="F29" s="112"/>
      <c r="G29" s="112" t="s">
        <v>217</v>
      </c>
      <c r="H29" s="112"/>
      <c r="I29" s="181"/>
      <c r="J29" s="112"/>
      <c r="L29" s="112"/>
      <c r="M29" s="112"/>
      <c r="N29" s="112"/>
      <c r="O29" s="112"/>
      <c r="P29" s="214" t="s">
        <v>14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112"/>
      <c r="B30" s="189" t="s">
        <v>218</v>
      </c>
      <c r="C30" s="190">
        <v>1260.0</v>
      </c>
      <c r="D30" s="191">
        <v>45566.0</v>
      </c>
      <c r="E30" s="112"/>
      <c r="F30" s="112"/>
      <c r="G30" s="112" t="s">
        <v>219</v>
      </c>
      <c r="H30" s="112"/>
      <c r="I30" s="181"/>
      <c r="J30" s="112"/>
      <c r="L30" s="112"/>
      <c r="M30" s="112"/>
      <c r="N30" s="112"/>
      <c r="O30" s="112"/>
      <c r="P30" s="214">
        <v>2000.0</v>
      </c>
      <c r="Q30" s="112" t="s">
        <v>220</v>
      </c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112"/>
      <c r="B31" s="189" t="s">
        <v>221</v>
      </c>
      <c r="C31" s="190">
        <v>1260.0</v>
      </c>
      <c r="D31" s="191">
        <v>45597.0</v>
      </c>
      <c r="E31" s="112"/>
      <c r="F31" s="112"/>
      <c r="G31" s="112" t="s">
        <v>222</v>
      </c>
      <c r="H31" s="112"/>
      <c r="I31" s="181"/>
      <c r="J31" s="112"/>
      <c r="L31" s="112"/>
      <c r="M31" s="112"/>
      <c r="N31" s="112"/>
      <c r="O31" s="112"/>
      <c r="P31" s="214" t="s">
        <v>14</v>
      </c>
      <c r="Q31" s="112" t="s">
        <v>14</v>
      </c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112"/>
      <c r="B32" s="207" t="s">
        <v>223</v>
      </c>
      <c r="C32" s="215">
        <v>1260.0</v>
      </c>
      <c r="D32" s="216">
        <v>45627.0</v>
      </c>
      <c r="E32" s="112"/>
      <c r="F32" s="112"/>
      <c r="G32" s="112" t="s">
        <v>224</v>
      </c>
      <c r="H32" s="112"/>
      <c r="I32" s="181"/>
      <c r="J32" s="112"/>
      <c r="L32" s="112"/>
      <c r="M32" s="112"/>
      <c r="N32" s="112"/>
      <c r="O32" s="112"/>
      <c r="P32" s="214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112"/>
      <c r="B33" s="207" t="s">
        <v>225</v>
      </c>
      <c r="C33" s="215">
        <v>1260.0</v>
      </c>
      <c r="D33" s="216">
        <v>45658.0</v>
      </c>
      <c r="E33" s="112"/>
      <c r="F33" s="112"/>
      <c r="G33" s="112" t="s">
        <v>226</v>
      </c>
      <c r="H33" s="112" t="s">
        <v>227</v>
      </c>
      <c r="I33" s="181"/>
      <c r="J33" s="112"/>
      <c r="L33" s="112"/>
      <c r="M33" s="112"/>
      <c r="N33" s="112"/>
      <c r="O33" s="112"/>
      <c r="P33" s="214">
        <f>((SUM(P27:P28)-SUM(P30:P31))/6)</f>
        <v>366.6666667</v>
      </c>
      <c r="Q33" s="112" t="s">
        <v>228</v>
      </c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112"/>
      <c r="B34" s="207" t="s">
        <v>229</v>
      </c>
      <c r="C34" s="215">
        <v>1260.0</v>
      </c>
      <c r="D34" s="216">
        <v>45689.0</v>
      </c>
      <c r="E34" s="112"/>
      <c r="F34" s="112"/>
      <c r="G34" s="112" t="s">
        <v>230</v>
      </c>
      <c r="H34" s="112" t="s">
        <v>84</v>
      </c>
      <c r="I34" s="181"/>
      <c r="J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07" t="s">
        <v>231</v>
      </c>
      <c r="C35" s="215">
        <v>1260.0</v>
      </c>
      <c r="D35" s="216">
        <v>45717.0</v>
      </c>
      <c r="E35" s="112"/>
      <c r="F35" s="112"/>
      <c r="G35" s="112"/>
      <c r="H35" s="112"/>
      <c r="I35" s="181"/>
      <c r="J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112"/>
      <c r="B36" s="207" t="s">
        <v>232</v>
      </c>
      <c r="C36" s="215">
        <v>1260.0</v>
      </c>
      <c r="D36" s="216">
        <v>45748.0</v>
      </c>
      <c r="E36" s="112"/>
      <c r="F36" s="112"/>
      <c r="G36" s="112"/>
      <c r="H36" s="112"/>
      <c r="I36" s="181"/>
      <c r="J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2.75" customHeight="1">
      <c r="A37" s="112"/>
      <c r="B37" s="207" t="s">
        <v>233</v>
      </c>
      <c r="C37" s="215">
        <v>1400.0</v>
      </c>
      <c r="D37" s="216">
        <v>45778.0</v>
      </c>
      <c r="E37" s="112"/>
      <c r="F37" s="112"/>
      <c r="G37" s="112"/>
      <c r="H37" s="112"/>
      <c r="I37" s="181"/>
      <c r="J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2.75" customHeight="1">
      <c r="A38" s="112"/>
      <c r="B38" s="217">
        <v>26600.0</v>
      </c>
      <c r="C38" s="215">
        <v>27860.0</v>
      </c>
      <c r="D38" s="112"/>
      <c r="E38" s="112"/>
      <c r="F38" s="112"/>
      <c r="G38" s="112"/>
      <c r="H38" s="112"/>
      <c r="I38" s="181"/>
      <c r="J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2.75" customHeight="1">
      <c r="A39" s="112"/>
      <c r="B39" s="218">
        <v>1260.0</v>
      </c>
      <c r="C39" s="219" t="s">
        <v>234</v>
      </c>
      <c r="D39" s="112"/>
      <c r="E39" s="112"/>
      <c r="F39" s="112"/>
      <c r="G39" s="112"/>
      <c r="H39" s="112"/>
      <c r="I39" s="181"/>
      <c r="J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2.75" customHeight="1">
      <c r="A40" s="112"/>
      <c r="E40" s="112"/>
      <c r="F40" s="112"/>
      <c r="G40" s="112"/>
      <c r="H40" s="112"/>
      <c r="I40" s="181"/>
      <c r="J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2.75" customHeight="1">
      <c r="A41" s="112"/>
      <c r="E41" s="112"/>
      <c r="F41" s="112"/>
      <c r="G41" s="112"/>
      <c r="H41" s="112"/>
      <c r="I41" s="181"/>
      <c r="J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2.75" customHeight="1">
      <c r="A42" s="112"/>
      <c r="E42" s="112"/>
      <c r="F42" s="112"/>
      <c r="G42" s="112"/>
      <c r="H42" s="112"/>
      <c r="I42" s="181"/>
      <c r="J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81"/>
      <c r="J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81"/>
      <c r="J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81"/>
      <c r="J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81"/>
      <c r="J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81"/>
      <c r="J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81"/>
      <c r="J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81"/>
      <c r="J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81"/>
      <c r="J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81"/>
      <c r="J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81"/>
      <c r="J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81"/>
      <c r="J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81"/>
      <c r="J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81"/>
      <c r="J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81"/>
      <c r="J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81"/>
      <c r="J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81"/>
      <c r="J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81"/>
      <c r="J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81"/>
      <c r="J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81"/>
      <c r="J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81"/>
      <c r="J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81"/>
      <c r="J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81"/>
      <c r="J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81"/>
      <c r="J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81"/>
      <c r="J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81"/>
      <c r="J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81"/>
      <c r="J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81"/>
      <c r="J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81"/>
      <c r="J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81"/>
      <c r="J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81"/>
      <c r="J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81"/>
      <c r="J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81"/>
      <c r="J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81"/>
      <c r="J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81"/>
      <c r="J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81"/>
      <c r="J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81"/>
      <c r="J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81"/>
      <c r="J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81"/>
      <c r="J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81"/>
      <c r="J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81"/>
      <c r="J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81"/>
      <c r="J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81"/>
      <c r="J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81"/>
      <c r="J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81"/>
      <c r="J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81"/>
      <c r="J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81"/>
      <c r="J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81"/>
      <c r="J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81"/>
      <c r="J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81"/>
      <c r="J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81"/>
      <c r="J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81"/>
      <c r="J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81"/>
      <c r="J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81"/>
      <c r="J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81"/>
      <c r="J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81"/>
      <c r="J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81"/>
      <c r="J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81"/>
      <c r="J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81"/>
      <c r="J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81"/>
      <c r="J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81"/>
      <c r="J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81"/>
      <c r="J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81"/>
      <c r="J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81"/>
      <c r="J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81"/>
      <c r="J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81"/>
      <c r="J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81"/>
      <c r="J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81"/>
      <c r="J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81"/>
      <c r="J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81"/>
      <c r="J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81"/>
      <c r="J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81"/>
      <c r="J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81"/>
      <c r="J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81"/>
      <c r="J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81"/>
      <c r="J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81"/>
      <c r="J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81"/>
      <c r="J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81"/>
      <c r="J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81"/>
      <c r="J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81"/>
      <c r="J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81"/>
      <c r="J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81"/>
      <c r="J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81"/>
      <c r="J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81"/>
      <c r="J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81"/>
      <c r="J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81"/>
      <c r="J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81"/>
      <c r="J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81"/>
      <c r="J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81"/>
      <c r="J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81"/>
      <c r="J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81"/>
      <c r="J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81"/>
      <c r="J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81"/>
      <c r="J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81"/>
      <c r="J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81"/>
      <c r="J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81"/>
      <c r="J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81"/>
      <c r="J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81"/>
      <c r="J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81"/>
      <c r="J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81"/>
      <c r="J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81"/>
      <c r="J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81"/>
      <c r="J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81"/>
      <c r="J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81"/>
      <c r="J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81"/>
      <c r="J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81"/>
      <c r="J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81"/>
      <c r="J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81"/>
      <c r="J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81"/>
      <c r="J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81"/>
      <c r="J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81"/>
      <c r="J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81"/>
      <c r="J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81"/>
      <c r="J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81"/>
      <c r="J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81"/>
      <c r="J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81"/>
      <c r="J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81"/>
      <c r="J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81"/>
      <c r="J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81"/>
      <c r="J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81"/>
      <c r="J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81"/>
      <c r="J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81"/>
      <c r="J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81"/>
      <c r="J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81"/>
      <c r="J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81"/>
      <c r="J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81"/>
      <c r="J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81"/>
      <c r="J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81"/>
      <c r="J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81"/>
      <c r="J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81"/>
      <c r="J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81"/>
      <c r="J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81"/>
      <c r="J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81"/>
      <c r="J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81"/>
      <c r="J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81"/>
      <c r="J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81"/>
      <c r="J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81"/>
      <c r="J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81"/>
      <c r="J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81"/>
      <c r="J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81"/>
      <c r="J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81"/>
      <c r="J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81"/>
      <c r="J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81"/>
      <c r="J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81"/>
      <c r="J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81"/>
      <c r="J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81"/>
      <c r="J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81"/>
      <c r="J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81"/>
      <c r="J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81"/>
      <c r="J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81"/>
      <c r="J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81"/>
      <c r="J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81"/>
      <c r="J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81"/>
      <c r="J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81"/>
      <c r="J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81"/>
      <c r="J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81"/>
      <c r="J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81"/>
      <c r="J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81"/>
      <c r="J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81"/>
      <c r="J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81"/>
      <c r="J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81"/>
      <c r="J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81"/>
      <c r="J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81"/>
      <c r="J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81"/>
      <c r="J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81"/>
      <c r="J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81"/>
      <c r="J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81"/>
      <c r="J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81"/>
      <c r="J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81"/>
      <c r="J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81"/>
      <c r="J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81"/>
      <c r="J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81"/>
      <c r="J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81"/>
      <c r="J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81"/>
      <c r="J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81"/>
      <c r="J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81"/>
      <c r="J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81"/>
      <c r="J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81"/>
      <c r="J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81"/>
      <c r="J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81"/>
      <c r="J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81"/>
      <c r="J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81"/>
      <c r="J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81"/>
      <c r="J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81"/>
      <c r="J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81"/>
      <c r="J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81"/>
      <c r="J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81"/>
      <c r="J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81"/>
      <c r="J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81"/>
      <c r="J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81"/>
      <c r="J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81"/>
      <c r="J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81"/>
      <c r="J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81"/>
      <c r="J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81"/>
      <c r="J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81"/>
      <c r="J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81"/>
      <c r="J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81"/>
      <c r="J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81"/>
      <c r="J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2.75" customHeight="1">
      <c r="I240" s="210"/>
    </row>
    <row r="241" ht="12.75" customHeight="1">
      <c r="I241" s="210"/>
    </row>
    <row r="242" ht="12.75" customHeight="1">
      <c r="I242" s="210"/>
    </row>
    <row r="243" ht="12.75" customHeight="1">
      <c r="I243" s="210"/>
    </row>
    <row r="244" ht="12.75" customHeight="1">
      <c r="I244" s="210"/>
    </row>
    <row r="245" ht="12.75" customHeight="1">
      <c r="I245" s="210"/>
    </row>
    <row r="246" ht="12.75" customHeight="1">
      <c r="I246" s="210"/>
    </row>
    <row r="247" ht="12.75" customHeight="1">
      <c r="I247" s="210"/>
    </row>
    <row r="248" ht="12.75" customHeight="1">
      <c r="I248" s="210"/>
    </row>
    <row r="249" ht="12.75" customHeight="1">
      <c r="I249" s="210"/>
    </row>
    <row r="250" ht="12.75" customHeight="1">
      <c r="I250" s="210"/>
    </row>
    <row r="251" ht="12.75" customHeight="1">
      <c r="I251" s="210"/>
    </row>
    <row r="252" ht="12.75" customHeight="1">
      <c r="I252" s="210"/>
    </row>
    <row r="253" ht="12.75" customHeight="1">
      <c r="I253" s="210"/>
    </row>
    <row r="254" ht="12.75" customHeight="1">
      <c r="I254" s="210"/>
    </row>
    <row r="255" ht="12.75" customHeight="1">
      <c r="I255" s="210"/>
    </row>
    <row r="256" ht="12.75" customHeight="1">
      <c r="I256" s="210"/>
    </row>
    <row r="257" ht="12.75" customHeight="1">
      <c r="I257" s="210"/>
    </row>
    <row r="258" ht="12.75" customHeight="1">
      <c r="I258" s="210"/>
    </row>
    <row r="259" ht="12.75" customHeight="1">
      <c r="I259" s="210"/>
    </row>
    <row r="260" ht="12.75" customHeight="1">
      <c r="I260" s="210"/>
    </row>
    <row r="261" ht="12.75" customHeight="1">
      <c r="I261" s="210"/>
    </row>
    <row r="262" ht="12.75" customHeight="1">
      <c r="I262" s="210"/>
    </row>
    <row r="263" ht="12.75" customHeight="1">
      <c r="I263" s="210"/>
    </row>
    <row r="264" ht="12.75" customHeight="1">
      <c r="I264" s="210"/>
    </row>
    <row r="265" ht="12.75" customHeight="1">
      <c r="I265" s="210"/>
    </row>
    <row r="266" ht="12.75" customHeight="1">
      <c r="I266" s="210"/>
    </row>
    <row r="267" ht="12.75" customHeight="1">
      <c r="I267" s="210"/>
    </row>
    <row r="268" ht="12.75" customHeight="1">
      <c r="I268" s="210"/>
    </row>
    <row r="269" ht="12.75" customHeight="1">
      <c r="I269" s="210"/>
    </row>
    <row r="270" ht="12.75" customHeight="1">
      <c r="I270" s="210"/>
    </row>
    <row r="271" ht="12.75" customHeight="1">
      <c r="I271" s="210"/>
    </row>
    <row r="272" ht="12.75" customHeight="1">
      <c r="I272" s="210"/>
    </row>
    <row r="273" ht="12.75" customHeight="1">
      <c r="I273" s="210"/>
    </row>
    <row r="274" ht="12.75" customHeight="1">
      <c r="I274" s="210"/>
    </row>
    <row r="275" ht="12.75" customHeight="1">
      <c r="I275" s="210"/>
    </row>
    <row r="276" ht="12.75" customHeight="1">
      <c r="I276" s="210"/>
    </row>
    <row r="277" ht="12.75" customHeight="1">
      <c r="I277" s="210"/>
    </row>
    <row r="278" ht="12.75" customHeight="1">
      <c r="I278" s="210"/>
    </row>
    <row r="279" ht="12.75" customHeight="1">
      <c r="I279" s="210"/>
    </row>
    <row r="280" ht="12.75" customHeight="1">
      <c r="I280" s="210"/>
    </row>
    <row r="281" ht="12.75" customHeight="1">
      <c r="I281" s="210"/>
    </row>
    <row r="282" ht="12.75" customHeight="1">
      <c r="I282" s="210"/>
    </row>
    <row r="283" ht="12.75" customHeight="1">
      <c r="I283" s="210"/>
    </row>
    <row r="284" ht="12.75" customHeight="1">
      <c r="I284" s="210"/>
    </row>
    <row r="285" ht="12.75" customHeight="1">
      <c r="I285" s="210"/>
    </row>
    <row r="286" ht="12.75" customHeight="1">
      <c r="I286" s="210"/>
    </row>
    <row r="287" ht="12.75" customHeight="1">
      <c r="I287" s="210"/>
    </row>
    <row r="288" ht="12.75" customHeight="1">
      <c r="I288" s="210"/>
    </row>
    <row r="289" ht="12.75" customHeight="1">
      <c r="I289" s="210"/>
    </row>
    <row r="290" ht="12.75" customHeight="1">
      <c r="I290" s="210"/>
    </row>
    <row r="291" ht="12.75" customHeight="1">
      <c r="I291" s="210"/>
    </row>
    <row r="292" ht="12.75" customHeight="1">
      <c r="I292" s="210"/>
    </row>
    <row r="293" ht="12.75" customHeight="1">
      <c r="I293" s="210"/>
    </row>
    <row r="294" ht="12.75" customHeight="1">
      <c r="I294" s="210"/>
    </row>
    <row r="295" ht="12.75" customHeight="1">
      <c r="I295" s="210"/>
    </row>
    <row r="296" ht="12.75" customHeight="1">
      <c r="I296" s="210"/>
    </row>
    <row r="297" ht="12.75" customHeight="1">
      <c r="I297" s="210"/>
    </row>
    <row r="298" ht="12.75" customHeight="1">
      <c r="I298" s="210"/>
    </row>
    <row r="299" ht="12.75" customHeight="1">
      <c r="I299" s="210"/>
    </row>
    <row r="300" ht="12.75" customHeight="1">
      <c r="I300" s="210"/>
    </row>
    <row r="301" ht="12.75" customHeight="1">
      <c r="I301" s="210"/>
    </row>
    <row r="302" ht="12.75" customHeight="1">
      <c r="I302" s="210"/>
    </row>
    <row r="303" ht="12.75" customHeight="1">
      <c r="I303" s="210"/>
    </row>
    <row r="304" ht="12.75" customHeight="1">
      <c r="I304" s="210"/>
    </row>
    <row r="305" ht="12.75" customHeight="1">
      <c r="I305" s="210"/>
    </row>
    <row r="306" ht="12.75" customHeight="1">
      <c r="I306" s="210"/>
    </row>
    <row r="307" ht="12.75" customHeight="1">
      <c r="I307" s="210"/>
    </row>
    <row r="308" ht="12.75" customHeight="1">
      <c r="I308" s="210"/>
    </row>
    <row r="309" ht="12.75" customHeight="1">
      <c r="I309" s="210"/>
    </row>
    <row r="310" ht="12.75" customHeight="1">
      <c r="I310" s="210"/>
    </row>
    <row r="311" ht="12.75" customHeight="1">
      <c r="I311" s="210"/>
    </row>
    <row r="312" ht="12.75" customHeight="1">
      <c r="I312" s="210"/>
    </row>
    <row r="313" ht="12.75" customHeight="1">
      <c r="I313" s="210"/>
    </row>
    <row r="314" ht="12.75" customHeight="1">
      <c r="I314" s="210"/>
    </row>
    <row r="315" ht="12.75" customHeight="1">
      <c r="I315" s="210"/>
    </row>
    <row r="316" ht="12.75" customHeight="1">
      <c r="I316" s="210"/>
    </row>
    <row r="317" ht="12.75" customHeight="1">
      <c r="I317" s="210"/>
    </row>
    <row r="318" ht="12.75" customHeight="1">
      <c r="I318" s="210"/>
    </row>
    <row r="319" ht="12.75" customHeight="1">
      <c r="I319" s="210"/>
    </row>
    <row r="320" ht="12.75" customHeight="1">
      <c r="I320" s="210"/>
    </row>
    <row r="321" ht="12.75" customHeight="1">
      <c r="I321" s="210"/>
    </row>
    <row r="322" ht="12.75" customHeight="1">
      <c r="I322" s="210"/>
    </row>
    <row r="323" ht="12.75" customHeight="1">
      <c r="I323" s="210"/>
    </row>
    <row r="324" ht="12.75" customHeight="1">
      <c r="I324" s="210"/>
    </row>
    <row r="325" ht="12.75" customHeight="1">
      <c r="I325" s="210"/>
    </row>
    <row r="326" ht="12.75" customHeight="1">
      <c r="I326" s="210"/>
    </row>
    <row r="327" ht="12.75" customHeight="1">
      <c r="I327" s="210"/>
    </row>
    <row r="328" ht="12.75" customHeight="1">
      <c r="I328" s="210"/>
    </row>
    <row r="329" ht="12.75" customHeight="1">
      <c r="I329" s="210"/>
    </row>
    <row r="330" ht="12.75" customHeight="1">
      <c r="I330" s="210"/>
    </row>
    <row r="331" ht="12.75" customHeight="1">
      <c r="I331" s="210"/>
    </row>
    <row r="332" ht="12.75" customHeight="1">
      <c r="I332" s="210"/>
    </row>
    <row r="333" ht="12.75" customHeight="1">
      <c r="I333" s="210"/>
    </row>
    <row r="334" ht="12.75" customHeight="1">
      <c r="I334" s="210"/>
    </row>
    <row r="335" ht="12.75" customHeight="1">
      <c r="I335" s="210"/>
    </row>
    <row r="336" ht="12.75" customHeight="1">
      <c r="I336" s="210"/>
    </row>
    <row r="337" ht="12.75" customHeight="1">
      <c r="I337" s="210"/>
    </row>
    <row r="338" ht="12.75" customHeight="1">
      <c r="I338" s="210"/>
    </row>
    <row r="339" ht="12.75" customHeight="1">
      <c r="I339" s="210"/>
    </row>
    <row r="340" ht="12.75" customHeight="1">
      <c r="I340" s="210"/>
    </row>
    <row r="341" ht="12.75" customHeight="1">
      <c r="I341" s="210"/>
    </row>
    <row r="342" ht="12.75" customHeight="1">
      <c r="I342" s="210"/>
    </row>
    <row r="343" ht="12.75" customHeight="1">
      <c r="I343" s="210"/>
    </row>
    <row r="344" ht="12.75" customHeight="1">
      <c r="I344" s="210"/>
    </row>
    <row r="345" ht="12.75" customHeight="1">
      <c r="I345" s="210"/>
    </row>
    <row r="346" ht="12.75" customHeight="1">
      <c r="I346" s="210"/>
    </row>
    <row r="347" ht="12.75" customHeight="1">
      <c r="I347" s="210"/>
    </row>
    <row r="348" ht="12.75" customHeight="1">
      <c r="I348" s="210"/>
    </row>
    <row r="349" ht="12.75" customHeight="1">
      <c r="I349" s="210"/>
    </row>
    <row r="350" ht="12.75" customHeight="1">
      <c r="I350" s="210"/>
    </row>
    <row r="351" ht="12.75" customHeight="1">
      <c r="I351" s="210"/>
    </row>
    <row r="352" ht="12.75" customHeight="1">
      <c r="I352" s="210"/>
    </row>
    <row r="353" ht="12.75" customHeight="1">
      <c r="I353" s="210"/>
    </row>
    <row r="354" ht="12.75" customHeight="1">
      <c r="I354" s="210"/>
    </row>
    <row r="355" ht="12.75" customHeight="1">
      <c r="I355" s="210"/>
    </row>
    <row r="356" ht="12.75" customHeight="1">
      <c r="I356" s="210"/>
    </row>
    <row r="357" ht="12.75" customHeight="1">
      <c r="I357" s="210"/>
    </row>
    <row r="358" ht="12.75" customHeight="1">
      <c r="I358" s="210"/>
    </row>
    <row r="359" ht="12.75" customHeight="1">
      <c r="I359" s="210"/>
    </row>
    <row r="360" ht="12.75" customHeight="1">
      <c r="I360" s="210"/>
    </row>
    <row r="361" ht="12.75" customHeight="1">
      <c r="I361" s="210"/>
    </row>
    <row r="362" ht="12.75" customHeight="1">
      <c r="I362" s="210"/>
    </row>
    <row r="363" ht="12.75" customHeight="1">
      <c r="I363" s="210"/>
    </row>
    <row r="364" ht="12.75" customHeight="1">
      <c r="I364" s="210"/>
    </row>
    <row r="365" ht="12.75" customHeight="1">
      <c r="I365" s="210"/>
    </row>
    <row r="366" ht="12.75" customHeight="1">
      <c r="I366" s="210"/>
    </row>
    <row r="367" ht="12.75" customHeight="1">
      <c r="I367" s="210"/>
    </row>
    <row r="368" ht="12.75" customHeight="1">
      <c r="I368" s="210"/>
    </row>
    <row r="369" ht="12.75" customHeight="1">
      <c r="I369" s="210"/>
    </row>
    <row r="370" ht="12.75" customHeight="1">
      <c r="I370" s="210"/>
    </row>
    <row r="371" ht="12.75" customHeight="1">
      <c r="I371" s="210"/>
    </row>
    <row r="372" ht="12.75" customHeight="1">
      <c r="I372" s="210"/>
    </row>
    <row r="373" ht="12.75" customHeight="1">
      <c r="I373" s="210"/>
    </row>
    <row r="374" ht="12.75" customHeight="1">
      <c r="I374" s="210"/>
    </row>
    <row r="375" ht="12.75" customHeight="1">
      <c r="I375" s="210"/>
    </row>
    <row r="376" ht="12.75" customHeight="1">
      <c r="I376" s="210"/>
    </row>
    <row r="377" ht="12.75" customHeight="1">
      <c r="I377" s="210"/>
    </row>
    <row r="378" ht="12.75" customHeight="1">
      <c r="I378" s="210"/>
    </row>
    <row r="379" ht="12.75" customHeight="1">
      <c r="I379" s="210"/>
    </row>
    <row r="380" ht="12.75" customHeight="1">
      <c r="I380" s="210"/>
    </row>
    <row r="381" ht="12.75" customHeight="1">
      <c r="I381" s="210"/>
    </row>
    <row r="382" ht="12.75" customHeight="1">
      <c r="I382" s="210"/>
    </row>
    <row r="383" ht="12.75" customHeight="1">
      <c r="I383" s="210"/>
    </row>
    <row r="384" ht="12.75" customHeight="1">
      <c r="I384" s="210"/>
    </row>
    <row r="385" ht="12.75" customHeight="1">
      <c r="I385" s="210"/>
    </row>
    <row r="386" ht="12.75" customHeight="1">
      <c r="I386" s="210"/>
    </row>
    <row r="387" ht="12.75" customHeight="1">
      <c r="I387" s="210"/>
    </row>
    <row r="388" ht="12.75" customHeight="1">
      <c r="I388" s="210"/>
    </row>
    <row r="389" ht="12.75" customHeight="1">
      <c r="I389" s="210"/>
    </row>
    <row r="390" ht="12.75" customHeight="1">
      <c r="I390" s="210"/>
    </row>
    <row r="391" ht="12.75" customHeight="1">
      <c r="I391" s="210"/>
    </row>
    <row r="392" ht="12.75" customHeight="1">
      <c r="I392" s="210"/>
    </row>
    <row r="393" ht="12.75" customHeight="1">
      <c r="I393" s="210"/>
    </row>
    <row r="394" ht="12.75" customHeight="1">
      <c r="I394" s="210"/>
    </row>
    <row r="395" ht="12.75" customHeight="1">
      <c r="I395" s="210"/>
    </row>
    <row r="396" ht="12.75" customHeight="1">
      <c r="I396" s="210"/>
    </row>
    <row r="397" ht="12.75" customHeight="1">
      <c r="I397" s="210"/>
    </row>
    <row r="398" ht="12.75" customHeight="1">
      <c r="I398" s="210"/>
    </row>
    <row r="399" ht="12.75" customHeight="1">
      <c r="I399" s="210"/>
    </row>
    <row r="400" ht="12.75" customHeight="1">
      <c r="I400" s="210"/>
    </row>
    <row r="401" ht="12.75" customHeight="1">
      <c r="I401" s="210"/>
    </row>
    <row r="402" ht="12.75" customHeight="1">
      <c r="I402" s="210"/>
    </row>
    <row r="403" ht="12.75" customHeight="1">
      <c r="I403" s="210"/>
    </row>
    <row r="404" ht="12.75" customHeight="1">
      <c r="I404" s="210"/>
    </row>
    <row r="405" ht="12.75" customHeight="1">
      <c r="I405" s="210"/>
    </row>
    <row r="406" ht="12.75" customHeight="1">
      <c r="I406" s="210"/>
    </row>
    <row r="407" ht="12.75" customHeight="1">
      <c r="I407" s="210"/>
    </row>
    <row r="408" ht="12.75" customHeight="1">
      <c r="I408" s="210"/>
    </row>
    <row r="409" ht="12.75" customHeight="1">
      <c r="I409" s="210"/>
    </row>
    <row r="410" ht="12.75" customHeight="1">
      <c r="I410" s="210"/>
    </row>
    <row r="411" ht="12.75" customHeight="1">
      <c r="I411" s="210"/>
    </row>
    <row r="412" ht="12.75" customHeight="1">
      <c r="I412" s="210"/>
    </row>
    <row r="413" ht="12.75" customHeight="1">
      <c r="I413" s="210"/>
    </row>
    <row r="414" ht="12.75" customHeight="1">
      <c r="I414" s="210"/>
    </row>
    <row r="415" ht="12.75" customHeight="1">
      <c r="I415" s="210"/>
    </row>
    <row r="416" ht="12.75" customHeight="1">
      <c r="I416" s="210"/>
    </row>
    <row r="417" ht="12.75" customHeight="1">
      <c r="I417" s="210"/>
    </row>
    <row r="418" ht="12.75" customHeight="1">
      <c r="I418" s="210"/>
    </row>
    <row r="419" ht="12.75" customHeight="1">
      <c r="I419" s="210"/>
    </row>
    <row r="420" ht="12.75" customHeight="1">
      <c r="I420" s="210"/>
    </row>
    <row r="421" ht="12.75" customHeight="1">
      <c r="I421" s="210"/>
    </row>
    <row r="422" ht="12.75" customHeight="1">
      <c r="I422" s="210"/>
    </row>
    <row r="423" ht="12.75" customHeight="1">
      <c r="I423" s="210"/>
    </row>
    <row r="424" ht="12.75" customHeight="1">
      <c r="I424" s="210"/>
    </row>
    <row r="425" ht="12.75" customHeight="1">
      <c r="I425" s="210"/>
    </row>
    <row r="426" ht="12.75" customHeight="1">
      <c r="I426" s="210"/>
    </row>
    <row r="427" ht="12.75" customHeight="1">
      <c r="I427" s="210"/>
    </row>
    <row r="428" ht="12.75" customHeight="1">
      <c r="I428" s="210"/>
    </row>
    <row r="429" ht="12.75" customHeight="1">
      <c r="I429" s="210"/>
    </row>
    <row r="430" ht="12.75" customHeight="1">
      <c r="I430" s="210"/>
    </row>
    <row r="431" ht="12.75" customHeight="1">
      <c r="I431" s="210"/>
    </row>
    <row r="432" ht="12.75" customHeight="1">
      <c r="I432" s="210"/>
    </row>
    <row r="433" ht="12.75" customHeight="1">
      <c r="I433" s="210"/>
    </row>
    <row r="434" ht="12.75" customHeight="1">
      <c r="I434" s="210"/>
    </row>
    <row r="435" ht="12.75" customHeight="1">
      <c r="I435" s="210"/>
    </row>
    <row r="436" ht="12.75" customHeight="1">
      <c r="I436" s="210"/>
    </row>
    <row r="437" ht="12.75" customHeight="1">
      <c r="I437" s="210"/>
    </row>
    <row r="438" ht="12.75" customHeight="1">
      <c r="I438" s="210"/>
    </row>
    <row r="439" ht="12.75" customHeight="1">
      <c r="I439" s="210"/>
    </row>
    <row r="440" ht="12.75" customHeight="1">
      <c r="I440" s="210"/>
    </row>
    <row r="441" ht="12.75" customHeight="1">
      <c r="I441" s="210"/>
    </row>
    <row r="442" ht="12.75" customHeight="1">
      <c r="I442" s="210"/>
    </row>
    <row r="443" ht="12.75" customHeight="1">
      <c r="I443" s="210"/>
    </row>
    <row r="444" ht="12.75" customHeight="1">
      <c r="I444" s="210"/>
    </row>
    <row r="445" ht="12.75" customHeight="1">
      <c r="I445" s="210"/>
    </row>
    <row r="446" ht="12.75" customHeight="1">
      <c r="I446" s="210"/>
    </row>
    <row r="447" ht="12.75" customHeight="1">
      <c r="I447" s="210"/>
    </row>
    <row r="448" ht="12.75" customHeight="1">
      <c r="I448" s="210"/>
    </row>
    <row r="449" ht="12.75" customHeight="1">
      <c r="I449" s="210"/>
    </row>
    <row r="450" ht="12.75" customHeight="1">
      <c r="I450" s="210"/>
    </row>
    <row r="451" ht="12.75" customHeight="1">
      <c r="I451" s="210"/>
    </row>
    <row r="452" ht="12.75" customHeight="1">
      <c r="I452" s="210"/>
    </row>
    <row r="453" ht="12.75" customHeight="1">
      <c r="I453" s="210"/>
    </row>
    <row r="454" ht="12.75" customHeight="1">
      <c r="I454" s="210"/>
    </row>
    <row r="455" ht="12.75" customHeight="1">
      <c r="I455" s="210"/>
    </row>
    <row r="456" ht="12.75" customHeight="1">
      <c r="I456" s="210"/>
    </row>
    <row r="457" ht="12.75" customHeight="1">
      <c r="I457" s="210"/>
    </row>
    <row r="458" ht="12.75" customHeight="1">
      <c r="I458" s="210"/>
    </row>
    <row r="459" ht="12.75" customHeight="1">
      <c r="I459" s="210"/>
    </row>
    <row r="460" ht="12.75" customHeight="1">
      <c r="I460" s="210"/>
    </row>
    <row r="461" ht="12.75" customHeight="1">
      <c r="I461" s="210"/>
    </row>
    <row r="462" ht="12.75" customHeight="1">
      <c r="I462" s="210"/>
    </row>
    <row r="463" ht="12.75" customHeight="1">
      <c r="I463" s="210"/>
    </row>
    <row r="464" ht="12.75" customHeight="1">
      <c r="I464" s="210"/>
    </row>
    <row r="465" ht="12.75" customHeight="1">
      <c r="I465" s="210"/>
    </row>
    <row r="466" ht="12.75" customHeight="1">
      <c r="I466" s="210"/>
    </row>
    <row r="467" ht="12.75" customHeight="1">
      <c r="I467" s="210"/>
    </row>
    <row r="468" ht="12.75" customHeight="1">
      <c r="I468" s="210"/>
    </row>
    <row r="469" ht="12.75" customHeight="1">
      <c r="I469" s="210"/>
    </row>
    <row r="470" ht="12.75" customHeight="1">
      <c r="I470" s="210"/>
    </row>
    <row r="471" ht="12.75" customHeight="1">
      <c r="I471" s="210"/>
    </row>
    <row r="472" ht="12.75" customHeight="1">
      <c r="I472" s="210"/>
    </row>
    <row r="473" ht="12.75" customHeight="1">
      <c r="I473" s="210"/>
    </row>
    <row r="474" ht="12.75" customHeight="1">
      <c r="I474" s="210"/>
    </row>
    <row r="475" ht="12.75" customHeight="1">
      <c r="I475" s="210"/>
    </row>
    <row r="476" ht="12.75" customHeight="1">
      <c r="I476" s="210"/>
    </row>
    <row r="477" ht="12.75" customHeight="1">
      <c r="I477" s="210"/>
    </row>
    <row r="478" ht="12.75" customHeight="1">
      <c r="I478" s="210"/>
    </row>
    <row r="479" ht="12.75" customHeight="1">
      <c r="I479" s="210"/>
    </row>
    <row r="480" ht="12.75" customHeight="1">
      <c r="I480" s="210"/>
    </row>
    <row r="481" ht="12.75" customHeight="1">
      <c r="I481" s="210"/>
    </row>
    <row r="482" ht="12.75" customHeight="1">
      <c r="I482" s="210"/>
    </row>
    <row r="483" ht="12.75" customHeight="1">
      <c r="I483" s="210"/>
    </row>
    <row r="484" ht="12.75" customHeight="1">
      <c r="I484" s="210"/>
    </row>
    <row r="485" ht="12.75" customHeight="1">
      <c r="I485" s="210"/>
    </row>
    <row r="486" ht="12.75" customHeight="1">
      <c r="I486" s="210"/>
    </row>
    <row r="487" ht="12.75" customHeight="1">
      <c r="I487" s="210"/>
    </row>
    <row r="488" ht="12.75" customHeight="1">
      <c r="I488" s="210"/>
    </row>
    <row r="489" ht="12.75" customHeight="1">
      <c r="I489" s="210"/>
    </row>
    <row r="490" ht="12.75" customHeight="1">
      <c r="I490" s="210"/>
    </row>
    <row r="491" ht="12.75" customHeight="1">
      <c r="I491" s="210"/>
    </row>
    <row r="492" ht="12.75" customHeight="1">
      <c r="I492" s="210"/>
    </row>
    <row r="493" ht="12.75" customHeight="1">
      <c r="I493" s="210"/>
    </row>
    <row r="494" ht="12.75" customHeight="1">
      <c r="I494" s="210"/>
    </row>
    <row r="495" ht="12.75" customHeight="1">
      <c r="I495" s="210"/>
    </row>
    <row r="496" ht="12.75" customHeight="1">
      <c r="I496" s="210"/>
    </row>
    <row r="497" ht="12.75" customHeight="1">
      <c r="I497" s="210"/>
    </row>
    <row r="498" ht="12.75" customHeight="1">
      <c r="I498" s="210"/>
    </row>
    <row r="499" ht="12.75" customHeight="1">
      <c r="I499" s="210"/>
    </row>
    <row r="500" ht="12.75" customHeight="1">
      <c r="I500" s="210"/>
    </row>
    <row r="501" ht="12.75" customHeight="1">
      <c r="I501" s="210"/>
    </row>
    <row r="502" ht="12.75" customHeight="1">
      <c r="I502" s="210"/>
    </row>
    <row r="503" ht="12.75" customHeight="1">
      <c r="I503" s="210"/>
    </row>
    <row r="504" ht="12.75" customHeight="1">
      <c r="I504" s="210"/>
    </row>
    <row r="505" ht="12.75" customHeight="1">
      <c r="I505" s="210"/>
    </row>
    <row r="506" ht="12.75" customHeight="1">
      <c r="I506" s="210"/>
    </row>
    <row r="507" ht="12.75" customHeight="1">
      <c r="I507" s="210"/>
    </row>
    <row r="508" ht="12.75" customHeight="1">
      <c r="I508" s="210"/>
    </row>
    <row r="509" ht="12.75" customHeight="1">
      <c r="I509" s="210"/>
    </row>
    <row r="510" ht="12.75" customHeight="1">
      <c r="I510" s="210"/>
    </row>
    <row r="511" ht="12.75" customHeight="1">
      <c r="I511" s="210"/>
    </row>
    <row r="512" ht="12.75" customHeight="1">
      <c r="I512" s="210"/>
    </row>
    <row r="513" ht="12.75" customHeight="1">
      <c r="I513" s="210"/>
    </row>
    <row r="514" ht="12.75" customHeight="1">
      <c r="I514" s="210"/>
    </row>
    <row r="515" ht="12.75" customHeight="1">
      <c r="I515" s="210"/>
    </row>
    <row r="516" ht="12.75" customHeight="1">
      <c r="I516" s="210"/>
    </row>
    <row r="517" ht="12.75" customHeight="1">
      <c r="I517" s="210"/>
    </row>
    <row r="518" ht="12.75" customHeight="1">
      <c r="I518" s="210"/>
    </row>
    <row r="519" ht="12.75" customHeight="1">
      <c r="I519" s="210"/>
    </row>
    <row r="520" ht="12.75" customHeight="1">
      <c r="I520" s="210"/>
    </row>
    <row r="521" ht="12.75" customHeight="1">
      <c r="I521" s="210"/>
    </row>
    <row r="522" ht="12.75" customHeight="1">
      <c r="I522" s="210"/>
    </row>
    <row r="523" ht="12.75" customHeight="1">
      <c r="I523" s="210"/>
    </row>
    <row r="524" ht="12.75" customHeight="1">
      <c r="I524" s="210"/>
    </row>
    <row r="525" ht="12.75" customHeight="1">
      <c r="I525" s="210"/>
    </row>
    <row r="526" ht="12.75" customHeight="1">
      <c r="I526" s="210"/>
    </row>
    <row r="527" ht="12.75" customHeight="1">
      <c r="I527" s="210"/>
    </row>
    <row r="528" ht="12.75" customHeight="1">
      <c r="I528" s="210"/>
    </row>
    <row r="529" ht="12.75" customHeight="1">
      <c r="I529" s="210"/>
    </row>
    <row r="530" ht="12.75" customHeight="1">
      <c r="I530" s="210"/>
    </row>
    <row r="531" ht="12.75" customHeight="1">
      <c r="I531" s="210"/>
    </row>
    <row r="532" ht="12.75" customHeight="1">
      <c r="I532" s="210"/>
    </row>
    <row r="533" ht="12.75" customHeight="1">
      <c r="I533" s="210"/>
    </row>
    <row r="534" ht="12.75" customHeight="1">
      <c r="I534" s="210"/>
    </row>
    <row r="535" ht="12.75" customHeight="1">
      <c r="I535" s="210"/>
    </row>
    <row r="536" ht="12.75" customHeight="1">
      <c r="I536" s="210"/>
    </row>
    <row r="537" ht="12.75" customHeight="1">
      <c r="I537" s="210"/>
    </row>
    <row r="538" ht="12.75" customHeight="1">
      <c r="I538" s="210"/>
    </row>
    <row r="539" ht="12.75" customHeight="1">
      <c r="I539" s="210"/>
    </row>
    <row r="540" ht="12.75" customHeight="1">
      <c r="I540" s="210"/>
    </row>
    <row r="541" ht="12.75" customHeight="1">
      <c r="I541" s="210"/>
    </row>
    <row r="542" ht="12.75" customHeight="1">
      <c r="I542" s="210"/>
    </row>
    <row r="543" ht="12.75" customHeight="1">
      <c r="I543" s="210"/>
    </row>
    <row r="544" ht="12.75" customHeight="1">
      <c r="I544" s="210"/>
    </row>
    <row r="545" ht="12.75" customHeight="1">
      <c r="I545" s="210"/>
    </row>
    <row r="546" ht="12.75" customHeight="1">
      <c r="I546" s="210"/>
    </row>
    <row r="547" ht="12.75" customHeight="1">
      <c r="I547" s="210"/>
    </row>
    <row r="548" ht="12.75" customHeight="1">
      <c r="I548" s="210"/>
    </row>
    <row r="549" ht="12.75" customHeight="1">
      <c r="I549" s="210"/>
    </row>
    <row r="550" ht="12.75" customHeight="1">
      <c r="I550" s="210"/>
    </row>
    <row r="551" ht="12.75" customHeight="1">
      <c r="I551" s="210"/>
    </row>
    <row r="552" ht="12.75" customHeight="1">
      <c r="I552" s="210"/>
    </row>
    <row r="553" ht="12.75" customHeight="1">
      <c r="I553" s="210"/>
    </row>
    <row r="554" ht="12.75" customHeight="1">
      <c r="I554" s="210"/>
    </row>
    <row r="555" ht="12.75" customHeight="1">
      <c r="I555" s="210"/>
    </row>
    <row r="556" ht="12.75" customHeight="1">
      <c r="I556" s="210"/>
    </row>
    <row r="557" ht="12.75" customHeight="1">
      <c r="I557" s="210"/>
    </row>
    <row r="558" ht="12.75" customHeight="1">
      <c r="I558" s="210"/>
    </row>
    <row r="559" ht="12.75" customHeight="1">
      <c r="I559" s="210"/>
    </row>
    <row r="560" ht="12.75" customHeight="1">
      <c r="I560" s="210"/>
    </row>
    <row r="561" ht="12.75" customHeight="1">
      <c r="I561" s="210"/>
    </row>
    <row r="562" ht="12.75" customHeight="1">
      <c r="I562" s="210"/>
    </row>
    <row r="563" ht="12.75" customHeight="1">
      <c r="I563" s="210"/>
    </row>
    <row r="564" ht="12.75" customHeight="1">
      <c r="I564" s="210"/>
    </row>
    <row r="565" ht="12.75" customHeight="1">
      <c r="I565" s="210"/>
    </row>
    <row r="566" ht="12.75" customHeight="1">
      <c r="I566" s="210"/>
    </row>
    <row r="567" ht="12.75" customHeight="1">
      <c r="I567" s="210"/>
    </row>
    <row r="568" ht="12.75" customHeight="1">
      <c r="I568" s="210"/>
    </row>
    <row r="569" ht="12.75" customHeight="1">
      <c r="I569" s="210"/>
    </row>
    <row r="570" ht="12.75" customHeight="1">
      <c r="I570" s="210"/>
    </row>
    <row r="571" ht="12.75" customHeight="1">
      <c r="I571" s="210"/>
    </row>
    <row r="572" ht="12.75" customHeight="1">
      <c r="I572" s="210"/>
    </row>
    <row r="573" ht="12.75" customHeight="1">
      <c r="I573" s="210"/>
    </row>
    <row r="574" ht="12.75" customHeight="1">
      <c r="I574" s="210"/>
    </row>
    <row r="575" ht="12.75" customHeight="1">
      <c r="I575" s="210"/>
    </row>
    <row r="576" ht="12.75" customHeight="1">
      <c r="I576" s="210"/>
    </row>
    <row r="577" ht="12.75" customHeight="1">
      <c r="I577" s="210"/>
    </row>
    <row r="578" ht="12.75" customHeight="1">
      <c r="I578" s="210"/>
    </row>
    <row r="579" ht="12.75" customHeight="1">
      <c r="I579" s="210"/>
    </row>
    <row r="580" ht="12.75" customHeight="1">
      <c r="I580" s="210"/>
    </row>
    <row r="581" ht="12.75" customHeight="1">
      <c r="I581" s="210"/>
    </row>
    <row r="582" ht="12.75" customHeight="1">
      <c r="I582" s="210"/>
    </row>
    <row r="583" ht="12.75" customHeight="1">
      <c r="I583" s="210"/>
    </row>
    <row r="584" ht="12.75" customHeight="1">
      <c r="I584" s="210"/>
    </row>
    <row r="585" ht="12.75" customHeight="1">
      <c r="I585" s="210"/>
    </row>
    <row r="586" ht="12.75" customHeight="1">
      <c r="I586" s="210"/>
    </row>
    <row r="587" ht="12.75" customHeight="1">
      <c r="I587" s="210"/>
    </row>
    <row r="588" ht="12.75" customHeight="1">
      <c r="I588" s="210"/>
    </row>
    <row r="589" ht="12.75" customHeight="1">
      <c r="I589" s="210"/>
    </row>
    <row r="590" ht="12.75" customHeight="1">
      <c r="I590" s="210"/>
    </row>
    <row r="591" ht="12.75" customHeight="1">
      <c r="I591" s="210"/>
    </row>
    <row r="592" ht="12.75" customHeight="1">
      <c r="I592" s="210"/>
    </row>
    <row r="593" ht="12.75" customHeight="1">
      <c r="I593" s="210"/>
    </row>
    <row r="594" ht="12.75" customHeight="1">
      <c r="I594" s="210"/>
    </row>
    <row r="595" ht="12.75" customHeight="1">
      <c r="I595" s="210"/>
    </row>
    <row r="596" ht="12.75" customHeight="1">
      <c r="I596" s="210"/>
    </row>
    <row r="597" ht="12.75" customHeight="1">
      <c r="I597" s="210"/>
    </row>
    <row r="598" ht="12.75" customHeight="1">
      <c r="I598" s="210"/>
    </row>
    <row r="599" ht="12.75" customHeight="1">
      <c r="I599" s="210"/>
    </row>
    <row r="600" ht="12.75" customHeight="1">
      <c r="I600" s="210"/>
    </row>
    <row r="601" ht="12.75" customHeight="1">
      <c r="I601" s="210"/>
    </row>
    <row r="602" ht="12.75" customHeight="1">
      <c r="I602" s="210"/>
    </row>
    <row r="603" ht="12.75" customHeight="1">
      <c r="I603" s="210"/>
    </row>
    <row r="604" ht="12.75" customHeight="1">
      <c r="I604" s="210"/>
    </row>
    <row r="605" ht="12.75" customHeight="1">
      <c r="I605" s="210"/>
    </row>
    <row r="606" ht="12.75" customHeight="1">
      <c r="I606" s="210"/>
    </row>
    <row r="607" ht="12.75" customHeight="1">
      <c r="I607" s="210"/>
    </row>
    <row r="608" ht="12.75" customHeight="1">
      <c r="I608" s="210"/>
    </row>
    <row r="609" ht="12.75" customHeight="1">
      <c r="I609" s="210"/>
    </row>
    <row r="610" ht="12.75" customHeight="1">
      <c r="I610" s="210"/>
    </row>
    <row r="611" ht="12.75" customHeight="1">
      <c r="I611" s="210"/>
    </row>
    <row r="612" ht="12.75" customHeight="1">
      <c r="I612" s="210"/>
    </row>
    <row r="613" ht="12.75" customHeight="1">
      <c r="I613" s="210"/>
    </row>
    <row r="614" ht="12.75" customHeight="1">
      <c r="I614" s="210"/>
    </row>
    <row r="615" ht="12.75" customHeight="1">
      <c r="I615" s="210"/>
    </row>
    <row r="616" ht="12.75" customHeight="1">
      <c r="I616" s="210"/>
    </row>
    <row r="617" ht="12.75" customHeight="1">
      <c r="I617" s="210"/>
    </row>
    <row r="618" ht="12.75" customHeight="1">
      <c r="I618" s="210"/>
    </row>
    <row r="619" ht="12.75" customHeight="1">
      <c r="I619" s="210"/>
    </row>
    <row r="620" ht="12.75" customHeight="1">
      <c r="I620" s="210"/>
    </row>
    <row r="621" ht="12.75" customHeight="1">
      <c r="I621" s="210"/>
    </row>
    <row r="622" ht="12.75" customHeight="1">
      <c r="I622" s="210"/>
    </row>
    <row r="623" ht="12.75" customHeight="1">
      <c r="I623" s="210"/>
    </row>
    <row r="624" ht="12.75" customHeight="1">
      <c r="I624" s="210"/>
    </row>
    <row r="625" ht="12.75" customHeight="1">
      <c r="I625" s="210"/>
    </row>
    <row r="626" ht="12.75" customHeight="1">
      <c r="I626" s="210"/>
    </row>
    <row r="627" ht="12.75" customHeight="1">
      <c r="I627" s="210"/>
    </row>
    <row r="628" ht="12.75" customHeight="1">
      <c r="I628" s="210"/>
    </row>
    <row r="629" ht="12.75" customHeight="1">
      <c r="I629" s="210"/>
    </row>
    <row r="630" ht="12.75" customHeight="1">
      <c r="I630" s="210"/>
    </row>
    <row r="631" ht="12.75" customHeight="1">
      <c r="I631" s="210"/>
    </row>
    <row r="632" ht="12.75" customHeight="1">
      <c r="I632" s="210"/>
    </row>
    <row r="633" ht="12.75" customHeight="1">
      <c r="I633" s="210"/>
    </row>
    <row r="634" ht="12.75" customHeight="1">
      <c r="I634" s="210"/>
    </row>
    <row r="635" ht="12.75" customHeight="1">
      <c r="I635" s="210"/>
    </row>
    <row r="636" ht="12.75" customHeight="1">
      <c r="I636" s="210"/>
    </row>
    <row r="637" ht="12.75" customHeight="1">
      <c r="I637" s="210"/>
    </row>
    <row r="638" ht="12.75" customHeight="1">
      <c r="I638" s="210"/>
    </row>
    <row r="639" ht="12.75" customHeight="1">
      <c r="I639" s="210"/>
    </row>
    <row r="640" ht="12.75" customHeight="1">
      <c r="I640" s="210"/>
    </row>
    <row r="641" ht="12.75" customHeight="1">
      <c r="I641" s="210"/>
    </row>
    <row r="642" ht="12.75" customHeight="1">
      <c r="I642" s="210"/>
    </row>
    <row r="643" ht="12.75" customHeight="1">
      <c r="I643" s="210"/>
    </row>
    <row r="644" ht="12.75" customHeight="1">
      <c r="I644" s="210"/>
    </row>
    <row r="645" ht="12.75" customHeight="1">
      <c r="I645" s="210"/>
    </row>
    <row r="646" ht="12.75" customHeight="1">
      <c r="I646" s="210"/>
    </row>
    <row r="647" ht="12.75" customHeight="1">
      <c r="I647" s="210"/>
    </row>
    <row r="648" ht="12.75" customHeight="1">
      <c r="I648" s="210"/>
    </row>
    <row r="649" ht="12.75" customHeight="1">
      <c r="I649" s="210"/>
    </row>
    <row r="650" ht="12.75" customHeight="1">
      <c r="I650" s="210"/>
    </row>
    <row r="651" ht="12.75" customHeight="1">
      <c r="I651" s="210"/>
    </row>
    <row r="652" ht="12.75" customHeight="1">
      <c r="I652" s="210"/>
    </row>
    <row r="653" ht="12.75" customHeight="1">
      <c r="I653" s="210"/>
    </row>
    <row r="654" ht="12.75" customHeight="1">
      <c r="I654" s="210"/>
    </row>
    <row r="655" ht="12.75" customHeight="1">
      <c r="I655" s="210"/>
    </row>
    <row r="656" ht="12.75" customHeight="1">
      <c r="I656" s="210"/>
    </row>
    <row r="657" ht="12.75" customHeight="1">
      <c r="I657" s="210"/>
    </row>
    <row r="658" ht="12.75" customHeight="1">
      <c r="I658" s="210"/>
    </row>
    <row r="659" ht="12.75" customHeight="1">
      <c r="I659" s="210"/>
    </row>
    <row r="660" ht="12.75" customHeight="1">
      <c r="I660" s="210"/>
    </row>
    <row r="661" ht="12.75" customHeight="1">
      <c r="I661" s="210"/>
    </row>
    <row r="662" ht="12.75" customHeight="1">
      <c r="I662" s="210"/>
    </row>
    <row r="663" ht="12.75" customHeight="1">
      <c r="I663" s="210"/>
    </row>
    <row r="664" ht="12.75" customHeight="1">
      <c r="I664" s="210"/>
    </row>
    <row r="665" ht="12.75" customHeight="1">
      <c r="I665" s="210"/>
    </row>
    <row r="666" ht="12.75" customHeight="1">
      <c r="I666" s="210"/>
    </row>
    <row r="667" ht="12.75" customHeight="1">
      <c r="I667" s="210"/>
    </row>
    <row r="668" ht="12.75" customHeight="1">
      <c r="I668" s="210"/>
    </row>
    <row r="669" ht="12.75" customHeight="1">
      <c r="I669" s="210"/>
    </row>
    <row r="670" ht="12.75" customHeight="1">
      <c r="I670" s="210"/>
    </row>
    <row r="671" ht="12.75" customHeight="1">
      <c r="I671" s="210"/>
    </row>
    <row r="672" ht="12.75" customHeight="1">
      <c r="I672" s="210"/>
    </row>
    <row r="673" ht="12.75" customHeight="1">
      <c r="I673" s="210"/>
    </row>
    <row r="674" ht="12.75" customHeight="1">
      <c r="I674" s="210"/>
    </row>
    <row r="675" ht="12.75" customHeight="1">
      <c r="I675" s="210"/>
    </row>
    <row r="676" ht="12.75" customHeight="1">
      <c r="I676" s="210"/>
    </row>
    <row r="677" ht="12.75" customHeight="1">
      <c r="I677" s="210"/>
    </row>
    <row r="678" ht="12.75" customHeight="1">
      <c r="I678" s="210"/>
    </row>
    <row r="679" ht="12.75" customHeight="1">
      <c r="I679" s="210"/>
    </row>
    <row r="680" ht="12.75" customHeight="1">
      <c r="I680" s="210"/>
    </row>
    <row r="681" ht="12.75" customHeight="1">
      <c r="I681" s="210"/>
    </row>
    <row r="682" ht="12.75" customHeight="1">
      <c r="I682" s="210"/>
    </row>
    <row r="683" ht="12.75" customHeight="1">
      <c r="I683" s="210"/>
    </row>
    <row r="684" ht="12.75" customHeight="1">
      <c r="I684" s="210"/>
    </row>
    <row r="685" ht="12.75" customHeight="1">
      <c r="I685" s="210"/>
    </row>
    <row r="686" ht="12.75" customHeight="1">
      <c r="I686" s="210"/>
    </row>
    <row r="687" ht="12.75" customHeight="1">
      <c r="I687" s="210"/>
    </row>
    <row r="688" ht="12.75" customHeight="1">
      <c r="I688" s="210"/>
    </row>
    <row r="689" ht="12.75" customHeight="1">
      <c r="I689" s="210"/>
    </row>
    <row r="690" ht="12.75" customHeight="1">
      <c r="I690" s="210"/>
    </row>
    <row r="691" ht="12.75" customHeight="1">
      <c r="I691" s="210"/>
    </row>
    <row r="692" ht="12.75" customHeight="1">
      <c r="I692" s="210"/>
    </row>
    <row r="693" ht="12.75" customHeight="1">
      <c r="I693" s="210"/>
    </row>
    <row r="694" ht="12.75" customHeight="1">
      <c r="I694" s="210"/>
    </row>
    <row r="695" ht="12.75" customHeight="1">
      <c r="I695" s="210"/>
    </row>
    <row r="696" ht="12.75" customHeight="1">
      <c r="I696" s="210"/>
    </row>
    <row r="697" ht="12.75" customHeight="1">
      <c r="I697" s="210"/>
    </row>
    <row r="698" ht="12.75" customHeight="1">
      <c r="I698" s="210"/>
    </row>
    <row r="699" ht="12.75" customHeight="1">
      <c r="I699" s="210"/>
    </row>
    <row r="700" ht="12.75" customHeight="1">
      <c r="I700" s="210"/>
    </row>
    <row r="701" ht="12.75" customHeight="1">
      <c r="I701" s="210"/>
    </row>
    <row r="702" ht="12.75" customHeight="1">
      <c r="I702" s="210"/>
    </row>
    <row r="703" ht="12.75" customHeight="1">
      <c r="I703" s="210"/>
    </row>
    <row r="704" ht="12.75" customHeight="1">
      <c r="I704" s="210"/>
    </row>
    <row r="705" ht="12.75" customHeight="1">
      <c r="I705" s="210"/>
    </row>
    <row r="706" ht="12.75" customHeight="1">
      <c r="I706" s="210"/>
    </row>
    <row r="707" ht="12.75" customHeight="1">
      <c r="I707" s="210"/>
    </row>
    <row r="708" ht="12.75" customHeight="1">
      <c r="I708" s="210"/>
    </row>
    <row r="709" ht="12.75" customHeight="1">
      <c r="I709" s="210"/>
    </row>
    <row r="710" ht="12.75" customHeight="1">
      <c r="I710" s="210"/>
    </row>
    <row r="711" ht="12.75" customHeight="1">
      <c r="I711" s="210"/>
    </row>
    <row r="712" ht="12.75" customHeight="1">
      <c r="I712" s="210"/>
    </row>
    <row r="713" ht="12.75" customHeight="1">
      <c r="I713" s="210"/>
    </row>
    <row r="714" ht="12.75" customHeight="1">
      <c r="I714" s="210"/>
    </row>
    <row r="715" ht="12.75" customHeight="1">
      <c r="I715" s="210"/>
    </row>
    <row r="716" ht="12.75" customHeight="1">
      <c r="I716" s="210"/>
    </row>
    <row r="717" ht="12.75" customHeight="1">
      <c r="I717" s="210"/>
    </row>
    <row r="718" ht="12.75" customHeight="1">
      <c r="I718" s="210"/>
    </row>
    <row r="719" ht="12.75" customHeight="1">
      <c r="I719" s="210"/>
    </row>
    <row r="720" ht="12.75" customHeight="1">
      <c r="I720" s="210"/>
    </row>
    <row r="721" ht="12.75" customHeight="1">
      <c r="I721" s="210"/>
    </row>
    <row r="722" ht="12.75" customHeight="1">
      <c r="I722" s="210"/>
    </row>
    <row r="723" ht="12.75" customHeight="1">
      <c r="I723" s="210"/>
    </row>
    <row r="724" ht="12.75" customHeight="1">
      <c r="I724" s="210"/>
    </row>
    <row r="725" ht="12.75" customHeight="1">
      <c r="I725" s="210"/>
    </row>
    <row r="726" ht="12.75" customHeight="1">
      <c r="I726" s="210"/>
    </row>
    <row r="727" ht="12.75" customHeight="1">
      <c r="I727" s="210"/>
    </row>
    <row r="728" ht="12.75" customHeight="1">
      <c r="I728" s="210"/>
    </row>
    <row r="729" ht="12.75" customHeight="1">
      <c r="I729" s="210"/>
    </row>
    <row r="730" ht="12.75" customHeight="1">
      <c r="I730" s="210"/>
    </row>
    <row r="731" ht="12.75" customHeight="1">
      <c r="I731" s="210"/>
    </row>
    <row r="732" ht="12.75" customHeight="1">
      <c r="I732" s="210"/>
    </row>
    <row r="733" ht="12.75" customHeight="1">
      <c r="I733" s="210"/>
    </row>
    <row r="734" ht="12.75" customHeight="1">
      <c r="I734" s="210"/>
    </row>
    <row r="735" ht="12.75" customHeight="1">
      <c r="I735" s="210"/>
    </row>
    <row r="736" ht="12.75" customHeight="1">
      <c r="I736" s="210"/>
    </row>
    <row r="737" ht="12.75" customHeight="1">
      <c r="I737" s="210"/>
    </row>
    <row r="738" ht="12.75" customHeight="1">
      <c r="I738" s="210"/>
    </row>
    <row r="739" ht="12.75" customHeight="1">
      <c r="I739" s="210"/>
    </row>
    <row r="740" ht="12.75" customHeight="1">
      <c r="I740" s="210"/>
    </row>
    <row r="741" ht="12.75" customHeight="1">
      <c r="I741" s="210"/>
    </row>
    <row r="742" ht="12.75" customHeight="1">
      <c r="I742" s="210"/>
    </row>
    <row r="743" ht="12.75" customHeight="1">
      <c r="I743" s="210"/>
    </row>
    <row r="744" ht="12.75" customHeight="1">
      <c r="I744" s="210"/>
    </row>
    <row r="745" ht="12.75" customHeight="1">
      <c r="I745" s="210"/>
    </row>
    <row r="746" ht="12.75" customHeight="1">
      <c r="I746" s="210"/>
    </row>
    <row r="747" ht="12.75" customHeight="1">
      <c r="I747" s="210"/>
    </row>
    <row r="748" ht="12.75" customHeight="1">
      <c r="I748" s="210"/>
    </row>
    <row r="749" ht="12.75" customHeight="1">
      <c r="I749" s="210"/>
    </row>
    <row r="750" ht="12.75" customHeight="1">
      <c r="I750" s="210"/>
    </row>
    <row r="751" ht="12.75" customHeight="1">
      <c r="I751" s="210"/>
    </row>
    <row r="752" ht="12.75" customHeight="1">
      <c r="I752" s="210"/>
    </row>
    <row r="753" ht="12.75" customHeight="1">
      <c r="I753" s="210"/>
    </row>
    <row r="754" ht="12.75" customHeight="1">
      <c r="I754" s="210"/>
    </row>
    <row r="755" ht="12.75" customHeight="1">
      <c r="I755" s="210"/>
    </row>
    <row r="756" ht="12.75" customHeight="1">
      <c r="I756" s="210"/>
    </row>
    <row r="757" ht="12.75" customHeight="1">
      <c r="I757" s="210"/>
    </row>
    <row r="758" ht="12.75" customHeight="1">
      <c r="I758" s="210"/>
    </row>
    <row r="759" ht="12.75" customHeight="1">
      <c r="I759" s="210"/>
    </row>
    <row r="760" ht="12.75" customHeight="1">
      <c r="I760" s="210"/>
    </row>
    <row r="761" ht="12.75" customHeight="1">
      <c r="I761" s="210"/>
    </row>
    <row r="762" ht="12.75" customHeight="1">
      <c r="I762" s="210"/>
    </row>
    <row r="763" ht="12.75" customHeight="1">
      <c r="I763" s="210"/>
    </row>
    <row r="764" ht="12.75" customHeight="1">
      <c r="I764" s="210"/>
    </row>
    <row r="765" ht="12.75" customHeight="1">
      <c r="I765" s="210"/>
    </row>
    <row r="766" ht="12.75" customHeight="1">
      <c r="I766" s="210"/>
    </row>
    <row r="767" ht="12.75" customHeight="1">
      <c r="I767" s="210"/>
    </row>
    <row r="768" ht="12.75" customHeight="1">
      <c r="I768" s="210"/>
    </row>
    <row r="769" ht="12.75" customHeight="1">
      <c r="I769" s="210"/>
    </row>
    <row r="770" ht="12.75" customHeight="1">
      <c r="I770" s="210"/>
    </row>
    <row r="771" ht="12.75" customHeight="1">
      <c r="I771" s="210"/>
    </row>
    <row r="772" ht="12.75" customHeight="1">
      <c r="I772" s="210"/>
    </row>
    <row r="773" ht="12.75" customHeight="1">
      <c r="I773" s="210"/>
    </row>
    <row r="774" ht="12.75" customHeight="1">
      <c r="I774" s="210"/>
    </row>
    <row r="775" ht="12.75" customHeight="1">
      <c r="I775" s="210"/>
    </row>
    <row r="776" ht="12.75" customHeight="1">
      <c r="I776" s="210"/>
    </row>
    <row r="777" ht="12.75" customHeight="1">
      <c r="I777" s="210"/>
    </row>
    <row r="778" ht="12.75" customHeight="1">
      <c r="I778" s="210"/>
    </row>
    <row r="779" ht="12.75" customHeight="1">
      <c r="I779" s="210"/>
    </row>
    <row r="780" ht="12.75" customHeight="1">
      <c r="I780" s="210"/>
    </row>
    <row r="781" ht="12.75" customHeight="1">
      <c r="I781" s="210"/>
    </row>
    <row r="782" ht="12.75" customHeight="1">
      <c r="I782" s="210"/>
    </row>
    <row r="783" ht="12.75" customHeight="1">
      <c r="I783" s="210"/>
    </row>
    <row r="784" ht="12.75" customHeight="1">
      <c r="I784" s="210"/>
    </row>
    <row r="785" ht="12.75" customHeight="1">
      <c r="I785" s="210"/>
    </row>
    <row r="786" ht="12.75" customHeight="1">
      <c r="I786" s="210"/>
    </row>
    <row r="787" ht="12.75" customHeight="1">
      <c r="I787" s="210"/>
    </row>
    <row r="788" ht="12.75" customHeight="1">
      <c r="I788" s="210"/>
    </row>
    <row r="789" ht="12.75" customHeight="1">
      <c r="I789" s="210"/>
    </row>
    <row r="790" ht="12.75" customHeight="1">
      <c r="I790" s="210"/>
    </row>
    <row r="791" ht="12.75" customHeight="1">
      <c r="I791" s="210"/>
    </row>
    <row r="792" ht="12.75" customHeight="1">
      <c r="I792" s="210"/>
    </row>
    <row r="793" ht="12.75" customHeight="1">
      <c r="I793" s="210"/>
    </row>
    <row r="794" ht="12.75" customHeight="1">
      <c r="I794" s="210"/>
    </row>
    <row r="795" ht="12.75" customHeight="1">
      <c r="I795" s="210"/>
    </row>
    <row r="796" ht="12.75" customHeight="1">
      <c r="I796" s="210"/>
    </row>
    <row r="797" ht="12.75" customHeight="1">
      <c r="I797" s="210"/>
    </row>
    <row r="798" ht="12.75" customHeight="1">
      <c r="I798" s="210"/>
    </row>
    <row r="799" ht="12.75" customHeight="1">
      <c r="I799" s="210"/>
    </row>
    <row r="800" ht="12.75" customHeight="1">
      <c r="I800" s="210"/>
    </row>
    <row r="801" ht="12.75" customHeight="1">
      <c r="I801" s="210"/>
    </row>
    <row r="802" ht="12.75" customHeight="1">
      <c r="I802" s="210"/>
    </row>
    <row r="803" ht="12.75" customHeight="1">
      <c r="I803" s="210"/>
    </row>
    <row r="804" ht="12.75" customHeight="1">
      <c r="I804" s="210"/>
    </row>
    <row r="805" ht="12.75" customHeight="1">
      <c r="I805" s="210"/>
    </row>
    <row r="806" ht="12.75" customHeight="1">
      <c r="I806" s="210"/>
    </row>
    <row r="807" ht="12.75" customHeight="1">
      <c r="I807" s="210"/>
    </row>
    <row r="808" ht="12.75" customHeight="1">
      <c r="I808" s="210"/>
    </row>
    <row r="809" ht="12.75" customHeight="1">
      <c r="I809" s="210"/>
    </row>
    <row r="810" ht="12.75" customHeight="1">
      <c r="I810" s="210"/>
    </row>
    <row r="811" ht="12.75" customHeight="1">
      <c r="I811" s="210"/>
    </row>
    <row r="812" ht="12.75" customHeight="1">
      <c r="I812" s="210"/>
    </row>
    <row r="813" ht="12.75" customHeight="1">
      <c r="I813" s="210"/>
    </row>
    <row r="814" ht="12.75" customHeight="1">
      <c r="I814" s="210"/>
    </row>
    <row r="815" ht="12.75" customHeight="1">
      <c r="I815" s="210"/>
    </row>
    <row r="816" ht="12.75" customHeight="1">
      <c r="I816" s="210"/>
    </row>
    <row r="817" ht="12.75" customHeight="1">
      <c r="I817" s="210"/>
    </row>
    <row r="818" ht="12.75" customHeight="1">
      <c r="I818" s="210"/>
    </row>
    <row r="819" ht="12.75" customHeight="1">
      <c r="I819" s="210"/>
    </row>
    <row r="820" ht="12.75" customHeight="1">
      <c r="I820" s="210"/>
    </row>
    <row r="821" ht="12.75" customHeight="1">
      <c r="I821" s="210"/>
    </row>
    <row r="822" ht="12.75" customHeight="1">
      <c r="I822" s="210"/>
    </row>
    <row r="823" ht="12.75" customHeight="1">
      <c r="I823" s="210"/>
    </row>
    <row r="824" ht="12.75" customHeight="1">
      <c r="I824" s="210"/>
    </row>
    <row r="825" ht="12.75" customHeight="1">
      <c r="I825" s="210"/>
    </row>
    <row r="826" ht="12.75" customHeight="1">
      <c r="I826" s="210"/>
    </row>
    <row r="827" ht="12.75" customHeight="1">
      <c r="I827" s="210"/>
    </row>
    <row r="828" ht="12.75" customHeight="1">
      <c r="I828" s="210"/>
    </row>
    <row r="829" ht="12.75" customHeight="1">
      <c r="I829" s="210"/>
    </row>
    <row r="830" ht="12.75" customHeight="1">
      <c r="I830" s="210"/>
    </row>
    <row r="831" ht="12.75" customHeight="1">
      <c r="I831" s="210"/>
    </row>
    <row r="832" ht="12.75" customHeight="1">
      <c r="I832" s="210"/>
    </row>
    <row r="833" ht="12.75" customHeight="1">
      <c r="I833" s="210"/>
    </row>
    <row r="834" ht="12.75" customHeight="1">
      <c r="I834" s="210"/>
    </row>
    <row r="835" ht="12.75" customHeight="1">
      <c r="I835" s="210"/>
    </row>
    <row r="836" ht="12.75" customHeight="1">
      <c r="I836" s="210"/>
    </row>
    <row r="837" ht="12.75" customHeight="1">
      <c r="I837" s="210"/>
    </row>
    <row r="838" ht="12.75" customHeight="1">
      <c r="I838" s="210"/>
    </row>
    <row r="839" ht="12.75" customHeight="1">
      <c r="I839" s="210"/>
    </row>
    <row r="840" ht="12.75" customHeight="1">
      <c r="I840" s="210"/>
    </row>
    <row r="841" ht="12.75" customHeight="1">
      <c r="I841" s="210"/>
    </row>
    <row r="842" ht="12.75" customHeight="1">
      <c r="I842" s="210"/>
    </row>
    <row r="843" ht="12.75" customHeight="1">
      <c r="I843" s="210"/>
    </row>
    <row r="844" ht="12.75" customHeight="1">
      <c r="I844" s="210"/>
    </row>
    <row r="845" ht="12.75" customHeight="1">
      <c r="I845" s="210"/>
    </row>
    <row r="846" ht="12.75" customHeight="1">
      <c r="I846" s="210"/>
    </row>
    <row r="847" ht="12.75" customHeight="1">
      <c r="I847" s="210"/>
    </row>
    <row r="848" ht="12.75" customHeight="1">
      <c r="I848" s="210"/>
    </row>
    <row r="849" ht="12.75" customHeight="1">
      <c r="I849" s="210"/>
    </row>
    <row r="850" ht="12.75" customHeight="1">
      <c r="I850" s="210"/>
    </row>
    <row r="851" ht="12.75" customHeight="1">
      <c r="I851" s="210"/>
    </row>
    <row r="852" ht="12.75" customHeight="1">
      <c r="I852" s="210"/>
    </row>
    <row r="853" ht="12.75" customHeight="1">
      <c r="I853" s="210"/>
    </row>
    <row r="854" ht="12.75" customHeight="1">
      <c r="I854" s="210"/>
    </row>
    <row r="855" ht="12.75" customHeight="1">
      <c r="I855" s="210"/>
    </row>
    <row r="856" ht="12.75" customHeight="1">
      <c r="I856" s="210"/>
    </row>
    <row r="857" ht="12.75" customHeight="1">
      <c r="I857" s="210"/>
    </row>
    <row r="858" ht="12.75" customHeight="1">
      <c r="I858" s="210"/>
    </row>
    <row r="859" ht="12.75" customHeight="1">
      <c r="I859" s="210"/>
    </row>
    <row r="860" ht="12.75" customHeight="1">
      <c r="I860" s="210"/>
    </row>
    <row r="861" ht="12.75" customHeight="1">
      <c r="I861" s="210"/>
    </row>
    <row r="862" ht="12.75" customHeight="1">
      <c r="I862" s="210"/>
    </row>
    <row r="863" ht="12.75" customHeight="1">
      <c r="I863" s="210"/>
    </row>
    <row r="864" ht="12.75" customHeight="1">
      <c r="I864" s="210"/>
    </row>
    <row r="865" ht="12.75" customHeight="1">
      <c r="I865" s="210"/>
    </row>
    <row r="866" ht="12.75" customHeight="1">
      <c r="I866" s="210"/>
    </row>
    <row r="867" ht="12.75" customHeight="1">
      <c r="I867" s="210"/>
    </row>
    <row r="868" ht="12.75" customHeight="1">
      <c r="I868" s="210"/>
    </row>
    <row r="869" ht="12.75" customHeight="1">
      <c r="I869" s="210"/>
    </row>
    <row r="870" ht="12.75" customHeight="1">
      <c r="I870" s="210"/>
    </row>
    <row r="871" ht="12.75" customHeight="1">
      <c r="I871" s="210"/>
    </row>
    <row r="872" ht="12.75" customHeight="1">
      <c r="I872" s="210"/>
    </row>
    <row r="873" ht="12.75" customHeight="1">
      <c r="I873" s="210"/>
    </row>
    <row r="874" ht="12.75" customHeight="1">
      <c r="I874" s="210"/>
    </row>
    <row r="875" ht="12.75" customHeight="1">
      <c r="I875" s="210"/>
    </row>
    <row r="876" ht="12.75" customHeight="1">
      <c r="I876" s="210"/>
    </row>
    <row r="877" ht="12.75" customHeight="1">
      <c r="I877" s="210"/>
    </row>
    <row r="878" ht="12.75" customHeight="1">
      <c r="I878" s="210"/>
    </row>
    <row r="879" ht="12.75" customHeight="1">
      <c r="I879" s="210"/>
    </row>
    <row r="880" ht="12.75" customHeight="1">
      <c r="I880" s="210"/>
    </row>
    <row r="881" ht="12.75" customHeight="1">
      <c r="I881" s="210"/>
    </row>
    <row r="882" ht="12.75" customHeight="1">
      <c r="I882" s="210"/>
    </row>
    <row r="883" ht="12.75" customHeight="1">
      <c r="I883" s="210"/>
    </row>
    <row r="884" ht="12.75" customHeight="1">
      <c r="I884" s="210"/>
    </row>
    <row r="885" ht="12.75" customHeight="1">
      <c r="I885" s="210"/>
    </row>
    <row r="886" ht="12.75" customHeight="1">
      <c r="I886" s="210"/>
    </row>
    <row r="887" ht="12.75" customHeight="1">
      <c r="I887" s="210"/>
    </row>
    <row r="888" ht="12.75" customHeight="1">
      <c r="I888" s="210"/>
    </row>
    <row r="889" ht="12.75" customHeight="1">
      <c r="I889" s="210"/>
    </row>
    <row r="890" ht="12.75" customHeight="1">
      <c r="I890" s="210"/>
    </row>
    <row r="891" ht="12.75" customHeight="1">
      <c r="I891" s="210"/>
    </row>
    <row r="892" ht="12.75" customHeight="1">
      <c r="I892" s="210"/>
    </row>
    <row r="893" ht="12.75" customHeight="1">
      <c r="I893" s="210"/>
    </row>
    <row r="894" ht="12.75" customHeight="1">
      <c r="I894" s="210"/>
    </row>
    <row r="895" ht="12.75" customHeight="1">
      <c r="I895" s="210"/>
    </row>
    <row r="896" ht="12.75" customHeight="1">
      <c r="I896" s="210"/>
    </row>
    <row r="897" ht="12.75" customHeight="1">
      <c r="I897" s="210"/>
    </row>
    <row r="898" ht="12.75" customHeight="1">
      <c r="I898" s="210"/>
    </row>
    <row r="899" ht="12.75" customHeight="1">
      <c r="I899" s="210"/>
    </row>
    <row r="900" ht="12.75" customHeight="1">
      <c r="I900" s="210"/>
    </row>
    <row r="901" ht="12.75" customHeight="1">
      <c r="I901" s="210"/>
    </row>
    <row r="902" ht="12.75" customHeight="1">
      <c r="I902" s="210"/>
    </row>
    <row r="903" ht="12.75" customHeight="1">
      <c r="I903" s="210"/>
    </row>
    <row r="904" ht="12.75" customHeight="1">
      <c r="I904" s="210"/>
    </row>
    <row r="905" ht="12.75" customHeight="1">
      <c r="I905" s="210"/>
    </row>
    <row r="906" ht="12.75" customHeight="1">
      <c r="I906" s="210"/>
    </row>
    <row r="907" ht="12.75" customHeight="1">
      <c r="I907" s="210"/>
    </row>
    <row r="908" ht="12.75" customHeight="1">
      <c r="I908" s="210"/>
    </row>
    <row r="909" ht="12.75" customHeight="1">
      <c r="I909" s="210"/>
    </row>
    <row r="910" ht="12.75" customHeight="1">
      <c r="I910" s="210"/>
    </row>
    <row r="911" ht="12.75" customHeight="1">
      <c r="I911" s="210"/>
    </row>
    <row r="912" ht="12.75" customHeight="1">
      <c r="I912" s="210"/>
    </row>
    <row r="913" ht="12.75" customHeight="1">
      <c r="I913" s="210"/>
    </row>
    <row r="914" ht="12.75" customHeight="1">
      <c r="I914" s="210"/>
    </row>
    <row r="915" ht="12.75" customHeight="1">
      <c r="I915" s="210"/>
    </row>
    <row r="916" ht="12.75" customHeight="1">
      <c r="I916" s="210"/>
    </row>
    <row r="917" ht="12.75" customHeight="1">
      <c r="I917" s="210"/>
    </row>
    <row r="918" ht="12.75" customHeight="1">
      <c r="I918" s="210"/>
    </row>
    <row r="919" ht="12.75" customHeight="1">
      <c r="I919" s="210"/>
    </row>
    <row r="920" ht="12.75" customHeight="1">
      <c r="I920" s="210"/>
    </row>
    <row r="921" ht="12.75" customHeight="1">
      <c r="I921" s="210"/>
    </row>
    <row r="922" ht="12.75" customHeight="1">
      <c r="I922" s="210"/>
    </row>
    <row r="923" ht="12.75" customHeight="1">
      <c r="I923" s="210"/>
    </row>
    <row r="924" ht="12.75" customHeight="1">
      <c r="I924" s="210"/>
    </row>
    <row r="925" ht="12.75" customHeight="1">
      <c r="I925" s="210"/>
    </row>
    <row r="926" ht="12.75" customHeight="1">
      <c r="I926" s="210"/>
    </row>
    <row r="927" ht="12.75" customHeight="1">
      <c r="I927" s="210"/>
    </row>
    <row r="928" ht="12.75" customHeight="1">
      <c r="I928" s="210"/>
    </row>
    <row r="929" ht="12.75" customHeight="1">
      <c r="I929" s="210"/>
    </row>
    <row r="930" ht="12.75" customHeight="1">
      <c r="I930" s="210"/>
    </row>
    <row r="931" ht="12.75" customHeight="1">
      <c r="I931" s="210"/>
    </row>
    <row r="932" ht="12.75" customHeight="1">
      <c r="I932" s="210"/>
    </row>
    <row r="933" ht="12.75" customHeight="1">
      <c r="I933" s="210"/>
    </row>
    <row r="934" ht="12.75" customHeight="1">
      <c r="I934" s="210"/>
    </row>
    <row r="935" ht="12.75" customHeight="1">
      <c r="I935" s="210"/>
    </row>
    <row r="936" ht="12.75" customHeight="1">
      <c r="I936" s="210"/>
    </row>
    <row r="937" ht="12.75" customHeight="1">
      <c r="I937" s="210"/>
    </row>
    <row r="938" ht="12.75" customHeight="1">
      <c r="I938" s="210"/>
    </row>
    <row r="939" ht="12.75" customHeight="1">
      <c r="I939" s="210"/>
    </row>
    <row r="940" ht="12.75" customHeight="1">
      <c r="I940" s="210"/>
    </row>
    <row r="941" ht="12.75" customHeight="1">
      <c r="I941" s="210"/>
    </row>
    <row r="942" ht="12.75" customHeight="1">
      <c r="I942" s="210"/>
    </row>
    <row r="943" ht="12.75" customHeight="1">
      <c r="I943" s="210"/>
    </row>
    <row r="944" ht="12.75" customHeight="1">
      <c r="I944" s="210"/>
    </row>
    <row r="945" ht="12.75" customHeight="1">
      <c r="I945" s="210"/>
    </row>
    <row r="946" ht="12.75" customHeight="1">
      <c r="I946" s="210"/>
    </row>
    <row r="947" ht="12.75" customHeight="1">
      <c r="I947" s="210"/>
    </row>
    <row r="948" ht="12.75" customHeight="1">
      <c r="I948" s="210"/>
    </row>
    <row r="949" ht="12.75" customHeight="1">
      <c r="I949" s="210"/>
    </row>
    <row r="950" ht="12.75" customHeight="1">
      <c r="I950" s="210"/>
    </row>
    <row r="951" ht="12.75" customHeight="1">
      <c r="I951" s="210"/>
    </row>
    <row r="952" ht="12.75" customHeight="1">
      <c r="I952" s="210"/>
    </row>
    <row r="953" ht="12.75" customHeight="1">
      <c r="I953" s="210"/>
    </row>
    <row r="954" ht="12.75" customHeight="1">
      <c r="I954" s="210"/>
    </row>
    <row r="955" ht="12.75" customHeight="1">
      <c r="I955" s="210"/>
    </row>
    <row r="956" ht="12.75" customHeight="1">
      <c r="I956" s="210"/>
    </row>
    <row r="957" ht="12.75" customHeight="1">
      <c r="I957" s="210"/>
    </row>
    <row r="958" ht="12.75" customHeight="1">
      <c r="I958" s="210"/>
    </row>
    <row r="959" ht="12.75" customHeight="1">
      <c r="I959" s="210"/>
    </row>
    <row r="960" ht="12.75" customHeight="1">
      <c r="I960" s="210"/>
    </row>
    <row r="961" ht="12.75" customHeight="1">
      <c r="I961" s="210"/>
    </row>
    <row r="962" ht="12.75" customHeight="1">
      <c r="I962" s="210"/>
    </row>
    <row r="963" ht="12.75" customHeight="1">
      <c r="I963" s="210"/>
    </row>
    <row r="964" ht="12.75" customHeight="1">
      <c r="I964" s="210"/>
    </row>
    <row r="965" ht="12.75" customHeight="1">
      <c r="I965" s="210"/>
    </row>
    <row r="966" ht="12.75" customHeight="1">
      <c r="I966" s="210"/>
    </row>
    <row r="967" ht="12.75" customHeight="1">
      <c r="I967" s="210"/>
    </row>
    <row r="968" ht="12.75" customHeight="1">
      <c r="I968" s="210"/>
    </row>
    <row r="969" ht="12.75" customHeight="1">
      <c r="I969" s="210"/>
    </row>
    <row r="970" ht="12.75" customHeight="1">
      <c r="I970" s="210"/>
    </row>
    <row r="971" ht="12.75" customHeight="1">
      <c r="I971" s="210"/>
    </row>
    <row r="972" ht="12.75" customHeight="1">
      <c r="I972" s="210"/>
    </row>
    <row r="973" ht="12.75" customHeight="1">
      <c r="I973" s="210"/>
    </row>
    <row r="974" ht="12.75" customHeight="1">
      <c r="I974" s="210"/>
    </row>
    <row r="975" ht="12.75" customHeight="1">
      <c r="I975" s="210"/>
    </row>
    <row r="976" ht="12.75" customHeight="1">
      <c r="I976" s="210"/>
    </row>
    <row r="977" ht="12.75" customHeight="1">
      <c r="I977" s="210"/>
    </row>
    <row r="978" ht="12.75" customHeight="1">
      <c r="I978" s="210"/>
    </row>
    <row r="979" ht="12.75" customHeight="1">
      <c r="I979" s="210"/>
    </row>
    <row r="980" ht="12.75" customHeight="1">
      <c r="I980" s="210"/>
    </row>
    <row r="981" ht="12.75" customHeight="1">
      <c r="I981" s="210"/>
    </row>
    <row r="982" ht="12.75" customHeight="1">
      <c r="I982" s="210"/>
    </row>
    <row r="983" ht="12.75" customHeight="1">
      <c r="I983" s="210"/>
    </row>
    <row r="984" ht="12.75" customHeight="1">
      <c r="I984" s="210"/>
    </row>
    <row r="985" ht="12.75" customHeight="1">
      <c r="I985" s="210"/>
    </row>
    <row r="986" ht="12.75" customHeight="1">
      <c r="I986" s="210"/>
    </row>
    <row r="987" ht="12.75" customHeight="1">
      <c r="I987" s="210"/>
    </row>
    <row r="988" ht="12.75" customHeight="1">
      <c r="I988" s="210"/>
    </row>
    <row r="989" ht="12.75" customHeight="1">
      <c r="I989" s="210"/>
    </row>
    <row r="990" ht="12.75" customHeight="1">
      <c r="I990" s="210"/>
    </row>
    <row r="991" ht="12.75" customHeight="1">
      <c r="I991" s="210"/>
    </row>
    <row r="992" ht="12.75" customHeight="1">
      <c r="I992" s="210"/>
    </row>
    <row r="993" ht="12.75" customHeight="1">
      <c r="I993" s="210"/>
    </row>
    <row r="994" ht="12.75" customHeight="1">
      <c r="I994" s="210"/>
    </row>
    <row r="995" ht="12.75" customHeight="1">
      <c r="I995" s="210"/>
    </row>
    <row r="996" ht="12.75" customHeight="1">
      <c r="I996" s="210"/>
    </row>
    <row r="997" ht="12.75" customHeight="1">
      <c r="I997" s="210"/>
    </row>
    <row r="998" ht="12.75" customHeight="1">
      <c r="I998" s="210"/>
    </row>
    <row r="999" ht="12.75" customHeight="1">
      <c r="I999" s="210"/>
    </row>
    <row r="1000" ht="12.75" customHeight="1">
      <c r="I1000" s="210"/>
    </row>
  </sheetData>
  <mergeCells count="7">
    <mergeCell ref="B1:D1"/>
    <mergeCell ref="F2:F4"/>
    <mergeCell ref="G2:G4"/>
    <mergeCell ref="F6:F7"/>
    <mergeCell ref="G6:G7"/>
    <mergeCell ref="B15:D15"/>
    <mergeCell ref="N27:O2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5.13"/>
    <col customWidth="1" min="3" max="14" width="9.0"/>
    <col customWidth="1" min="15" max="15" width="13.0"/>
    <col customWidth="1" min="16" max="26" width="14.38"/>
  </cols>
  <sheetData>
    <row r="1" ht="12.75" customHeight="1">
      <c r="A1" s="3"/>
      <c r="B1" s="3"/>
      <c r="C1" s="3"/>
      <c r="D1" s="3"/>
      <c r="E1" s="3"/>
      <c r="F1" s="3"/>
    </row>
    <row r="2" ht="12.75" customHeight="1">
      <c r="A2" s="3"/>
      <c r="B2" s="220" t="s">
        <v>235</v>
      </c>
      <c r="J2" s="221"/>
      <c r="K2" s="221"/>
      <c r="L2" s="221"/>
      <c r="M2" s="221"/>
      <c r="N2" s="221"/>
      <c r="O2" s="221"/>
    </row>
    <row r="3" ht="12.75" customHeight="1">
      <c r="A3" s="3"/>
      <c r="B3" s="222"/>
      <c r="C3" s="223"/>
      <c r="D3" s="223"/>
      <c r="E3" s="223"/>
      <c r="F3" s="223"/>
      <c r="G3" s="223"/>
      <c r="H3" s="223"/>
      <c r="I3" s="223"/>
      <c r="J3" s="221"/>
      <c r="K3" s="221"/>
      <c r="L3" s="221"/>
      <c r="M3" s="221"/>
      <c r="N3" s="221"/>
      <c r="O3" s="221"/>
    </row>
    <row r="4" ht="42.75" customHeight="1">
      <c r="A4" s="3"/>
      <c r="B4" s="224" t="s">
        <v>236</v>
      </c>
      <c r="C4" s="225" t="s">
        <v>237</v>
      </c>
      <c r="D4" s="225" t="s">
        <v>238</v>
      </c>
      <c r="E4" s="225" t="s">
        <v>239</v>
      </c>
      <c r="F4" s="225" t="s">
        <v>240</v>
      </c>
      <c r="G4" s="225" t="s">
        <v>241</v>
      </c>
      <c r="H4" s="225" t="s">
        <v>242</v>
      </c>
      <c r="I4" s="225" t="s">
        <v>243</v>
      </c>
      <c r="J4" s="225" t="s">
        <v>244</v>
      </c>
      <c r="K4" s="225" t="s">
        <v>245</v>
      </c>
      <c r="L4" s="225" t="s">
        <v>246</v>
      </c>
      <c r="M4" s="225" t="s">
        <v>247</v>
      </c>
      <c r="N4" s="225" t="s">
        <v>248</v>
      </c>
      <c r="O4" s="226" t="s">
        <v>249</v>
      </c>
    </row>
    <row r="5" ht="12.75" customHeight="1">
      <c r="A5" s="3"/>
      <c r="B5" s="227" t="s">
        <v>250</v>
      </c>
      <c r="C5" s="228">
        <f>'ORC DOM_2025'!C20</f>
        <v>2006.67</v>
      </c>
      <c r="D5" s="228">
        <f>'ORC DOM_2025'!E20</f>
        <v>2712.67</v>
      </c>
      <c r="E5" s="228">
        <f>'ORC DOM_2025'!G20</f>
        <v>2763.27</v>
      </c>
      <c r="F5" s="228">
        <f>'ORC DOM_2025'!I20</f>
        <v>2609.67</v>
      </c>
      <c r="G5" s="228">
        <f>'ORC DOM_2025'!K20</f>
        <v>0</v>
      </c>
      <c r="H5" s="228">
        <f>'ORC DOM_2025'!M20</f>
        <v>0</v>
      </c>
      <c r="I5" s="228">
        <f>'ORC DOM_2025'!O20</f>
        <v>0</v>
      </c>
      <c r="J5" s="228">
        <f>'ORC DOM_2025'!Q20</f>
        <v>1000</v>
      </c>
      <c r="K5" s="228">
        <f>'ORC DOM_2025'!S20</f>
        <v>0</v>
      </c>
      <c r="L5" s="228">
        <f>'ORC DOM_2025'!U20</f>
        <v>0</v>
      </c>
      <c r="M5" s="228">
        <f>'ORC DOM_2025'!W20</f>
        <v>1000</v>
      </c>
      <c r="N5" s="228">
        <f>'ORC DOM_2025'!Y20</f>
        <v>0</v>
      </c>
      <c r="O5" s="229">
        <f t="shared" ref="O5:O7" si="1">SUM(C5:N5)</f>
        <v>12092.28</v>
      </c>
    </row>
    <row r="6" ht="12.75" customHeight="1">
      <c r="A6" s="3"/>
      <c r="B6" s="230" t="s">
        <v>251</v>
      </c>
      <c r="C6" s="231">
        <f>'ORC DOM_2025'!C113</f>
        <v>2028.935</v>
      </c>
      <c r="D6" s="231">
        <f>'ORC DOM_2025'!E113</f>
        <v>2725.435</v>
      </c>
      <c r="E6" s="231">
        <f>'ORC DOM_2025'!G113</f>
        <v>2825.435</v>
      </c>
      <c r="F6" s="231">
        <f>'ORC DOM_2025'!I113</f>
        <v>2720.435</v>
      </c>
      <c r="G6" s="231">
        <f>'ORC DOM_2025'!K113</f>
        <v>2442.81</v>
      </c>
      <c r="H6" s="231">
        <f>'ORC DOM_2025'!M113</f>
        <v>2584.81</v>
      </c>
      <c r="I6" s="231">
        <f>'ORC DOM_2025'!O113</f>
        <v>2404.81</v>
      </c>
      <c r="J6" s="231">
        <f>'ORC DOM_2025'!Q113</f>
        <v>3579.72</v>
      </c>
      <c r="K6" s="231">
        <f>'ORC DOM_2025'!S113</f>
        <v>2229.81</v>
      </c>
      <c r="L6" s="231">
        <f>'ORC DOM_2025'!U113</f>
        <v>2547.31</v>
      </c>
      <c r="M6" s="231">
        <f>'ORC DOM_2025'!W113</f>
        <v>3320.81</v>
      </c>
      <c r="N6" s="231">
        <f>'ORC DOM_2025'!Y113</f>
        <v>2433.81</v>
      </c>
      <c r="O6" s="232">
        <f t="shared" si="1"/>
        <v>31844.13</v>
      </c>
    </row>
    <row r="7" ht="12.75" customHeight="1">
      <c r="A7" s="3"/>
      <c r="B7" s="233" t="s">
        <v>252</v>
      </c>
      <c r="C7" s="234">
        <f t="shared" ref="C7:N7" si="2">C5-C6</f>
        <v>-22.265</v>
      </c>
      <c r="D7" s="234">
        <f t="shared" si="2"/>
        <v>-12.765</v>
      </c>
      <c r="E7" s="234">
        <f t="shared" si="2"/>
        <v>-62.165</v>
      </c>
      <c r="F7" s="234">
        <f t="shared" si="2"/>
        <v>-110.765</v>
      </c>
      <c r="G7" s="234">
        <f t="shared" si="2"/>
        <v>-2442.81</v>
      </c>
      <c r="H7" s="234">
        <f t="shared" si="2"/>
        <v>-2584.81</v>
      </c>
      <c r="I7" s="234">
        <f t="shared" si="2"/>
        <v>-2404.81</v>
      </c>
      <c r="J7" s="234">
        <f t="shared" si="2"/>
        <v>-2579.72</v>
      </c>
      <c r="K7" s="234">
        <f t="shared" si="2"/>
        <v>-2229.81</v>
      </c>
      <c r="L7" s="234">
        <f t="shared" si="2"/>
        <v>-2547.31</v>
      </c>
      <c r="M7" s="234">
        <f t="shared" si="2"/>
        <v>-2320.81</v>
      </c>
      <c r="N7" s="234">
        <f t="shared" si="2"/>
        <v>-2433.81</v>
      </c>
      <c r="O7" s="235">
        <f t="shared" si="1"/>
        <v>-19751.85</v>
      </c>
    </row>
    <row r="8" ht="12.75" customHeight="1">
      <c r="A8" s="3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</row>
    <row r="9" ht="42.75" customHeight="1">
      <c r="A9" s="3"/>
      <c r="B9" s="224" t="s">
        <v>253</v>
      </c>
      <c r="C9" s="225" t="s">
        <v>237</v>
      </c>
      <c r="D9" s="225" t="s">
        <v>238</v>
      </c>
      <c r="E9" s="225" t="s">
        <v>239</v>
      </c>
      <c r="F9" s="225" t="s">
        <v>240</v>
      </c>
      <c r="G9" s="225" t="s">
        <v>241</v>
      </c>
      <c r="H9" s="225" t="s">
        <v>242</v>
      </c>
      <c r="I9" s="225" t="s">
        <v>243</v>
      </c>
      <c r="J9" s="225" t="s">
        <v>244</v>
      </c>
      <c r="K9" s="225" t="s">
        <v>245</v>
      </c>
      <c r="L9" s="225" t="s">
        <v>246</v>
      </c>
      <c r="M9" s="225" t="s">
        <v>247</v>
      </c>
      <c r="N9" s="225" t="s">
        <v>248</v>
      </c>
      <c r="O9" s="226" t="s">
        <v>254</v>
      </c>
    </row>
    <row r="10" ht="12.75" customHeight="1">
      <c r="A10" s="3"/>
      <c r="B10" s="227" t="s">
        <v>23</v>
      </c>
      <c r="C10" s="228">
        <f>'ORC DOM_2025'!C22</f>
        <v>0</v>
      </c>
      <c r="D10" s="228">
        <f>'ORC DOM_2025'!E22</f>
        <v>250</v>
      </c>
      <c r="E10" s="228">
        <f>'ORC DOM_2025'!G22</f>
        <v>250</v>
      </c>
      <c r="F10" s="228">
        <f>'ORC DOM_2025'!I22</f>
        <v>250</v>
      </c>
      <c r="G10" s="228">
        <f>'ORC DOM_2025'!K22</f>
        <v>250</v>
      </c>
      <c r="H10" s="228">
        <f>'ORC DOM_2025'!M22</f>
        <v>250</v>
      </c>
      <c r="I10" s="228">
        <f>'ORC DOM_2025'!O22</f>
        <v>250</v>
      </c>
      <c r="J10" s="228">
        <f>'ORC DOM_2025'!Q22</f>
        <v>1250</v>
      </c>
      <c r="K10" s="228">
        <f>'ORC DOM_2025'!S22</f>
        <v>250</v>
      </c>
      <c r="L10" s="228">
        <f>'ORC DOM_2025'!U22</f>
        <v>250</v>
      </c>
      <c r="M10" s="228">
        <f>'ORC DOM_2025'!W22</f>
        <v>1250</v>
      </c>
      <c r="N10" s="228">
        <f>'ORC DOM_2025'!Y22</f>
        <v>250</v>
      </c>
      <c r="O10" s="229">
        <f t="shared" ref="O10:O18" si="3">SUM(C10:N10)</f>
        <v>4750</v>
      </c>
    </row>
    <row r="11" ht="12.75" customHeight="1">
      <c r="A11" s="3"/>
      <c r="B11" s="227" t="s">
        <v>31</v>
      </c>
      <c r="C11" s="228">
        <f>'ORC DOM_2025'!C31</f>
        <v>1351.5</v>
      </c>
      <c r="D11" s="228">
        <f>'ORC DOM_2025'!E31</f>
        <v>1511</v>
      </c>
      <c r="E11" s="228">
        <f>'ORC DOM_2025'!G31</f>
        <v>1511</v>
      </c>
      <c r="F11" s="228">
        <f>'ORC DOM_2025'!I31</f>
        <v>1506</v>
      </c>
      <c r="G11" s="228">
        <f>'ORC DOM_2025'!K31</f>
        <v>1506</v>
      </c>
      <c r="H11" s="228">
        <f>'ORC DOM_2025'!M31</f>
        <v>1506</v>
      </c>
      <c r="I11" s="228">
        <f>'ORC DOM_2025'!O31</f>
        <v>1506</v>
      </c>
      <c r="J11" s="228">
        <f>'ORC DOM_2025'!Q31</f>
        <v>1506</v>
      </c>
      <c r="K11" s="228">
        <f>'ORC DOM_2025'!S31</f>
        <v>1506</v>
      </c>
      <c r="L11" s="228">
        <f>'ORC DOM_2025'!U31</f>
        <v>1506</v>
      </c>
      <c r="M11" s="228">
        <f>'ORC DOM_2025'!W31</f>
        <v>1506</v>
      </c>
      <c r="N11" s="228">
        <f>'ORC DOM_2025'!Y31</f>
        <v>1506</v>
      </c>
      <c r="O11" s="229">
        <f t="shared" si="3"/>
        <v>17927.5</v>
      </c>
    </row>
    <row r="12" ht="12.75" customHeight="1">
      <c r="A12" s="3"/>
      <c r="B12" s="227" t="s">
        <v>255</v>
      </c>
      <c r="C12" s="228">
        <f>'ORC DOM_2025'!C46</f>
        <v>165.81</v>
      </c>
      <c r="D12" s="228">
        <f>'ORC DOM_2025'!E46</f>
        <v>165.81</v>
      </c>
      <c r="E12" s="228">
        <f>'ORC DOM_2025'!G46</f>
        <v>165.81</v>
      </c>
      <c r="F12" s="228">
        <f>'ORC DOM_2025'!I46</f>
        <v>165.81</v>
      </c>
      <c r="G12" s="228">
        <f>'ORC DOM_2025'!K46</f>
        <v>165.81</v>
      </c>
      <c r="H12" s="228">
        <f>'ORC DOM_2025'!M46</f>
        <v>165.81</v>
      </c>
      <c r="I12" s="228">
        <f>'ORC DOM_2025'!O46</f>
        <v>165.81</v>
      </c>
      <c r="J12" s="228">
        <f>'ORC DOM_2025'!Q46</f>
        <v>160.72</v>
      </c>
      <c r="K12" s="228">
        <f>'ORC DOM_2025'!S46</f>
        <v>104.81</v>
      </c>
      <c r="L12" s="228">
        <f>'ORC DOM_2025'!U46</f>
        <v>98.31</v>
      </c>
      <c r="M12" s="228">
        <f>'ORC DOM_2025'!W46</f>
        <v>91.81</v>
      </c>
      <c r="N12" s="228">
        <f>'ORC DOM_2025'!Y46</f>
        <v>104.81</v>
      </c>
      <c r="O12" s="229">
        <f t="shared" si="3"/>
        <v>1721.13</v>
      </c>
    </row>
    <row r="13" ht="12.75" customHeight="1">
      <c r="A13" s="3"/>
      <c r="B13" s="230" t="s">
        <v>53</v>
      </c>
      <c r="C13" s="231">
        <f>'ORC DOM_2025'!C53</f>
        <v>0</v>
      </c>
      <c r="D13" s="231">
        <f>'ORC DOM_2025'!E53</f>
        <v>55</v>
      </c>
      <c r="E13" s="231">
        <f>'ORC DOM_2025'!G53</f>
        <v>55</v>
      </c>
      <c r="F13" s="231">
        <f>'ORC DOM_2025'!I53</f>
        <v>55</v>
      </c>
      <c r="G13" s="231">
        <f>'ORC DOM_2025'!K53</f>
        <v>0</v>
      </c>
      <c r="H13" s="231">
        <f>'ORC DOM_2025'!M53</f>
        <v>0</v>
      </c>
      <c r="I13" s="231">
        <f>'ORC DOM_2025'!O53</f>
        <v>0</v>
      </c>
      <c r="J13" s="231">
        <f>'ORC DOM_2025'!Q53</f>
        <v>0</v>
      </c>
      <c r="K13" s="231">
        <f>'ORC DOM_2025'!S53</f>
        <v>0</v>
      </c>
      <c r="L13" s="231">
        <f>'ORC DOM_2025'!U53</f>
        <v>0</v>
      </c>
      <c r="M13" s="231">
        <f>'ORC DOM_2025'!W53</f>
        <v>0</v>
      </c>
      <c r="N13" s="231">
        <f>'ORC DOM_2025'!Y53</f>
        <v>0</v>
      </c>
      <c r="O13" s="229">
        <f t="shared" si="3"/>
        <v>165</v>
      </c>
    </row>
    <row r="14" ht="12.75" customHeight="1">
      <c r="A14" s="3"/>
      <c r="B14" s="230" t="s">
        <v>59</v>
      </c>
      <c r="C14" s="231">
        <f>'ORC DOM_2025'!C59</f>
        <v>191</v>
      </c>
      <c r="D14" s="231">
        <f>'ORC DOM_2025'!E59</f>
        <v>113</v>
      </c>
      <c r="E14" s="231">
        <f>'ORC DOM_2025'!G59</f>
        <v>113</v>
      </c>
      <c r="F14" s="231">
        <f>'ORC DOM_2025'!I59</f>
        <v>113</v>
      </c>
      <c r="G14" s="231">
        <f>'ORC DOM_2025'!K59</f>
        <v>209</v>
      </c>
      <c r="H14" s="231">
        <f>'ORC DOM_2025'!M59</f>
        <v>203</v>
      </c>
      <c r="I14" s="231">
        <f>'ORC DOM_2025'!O59</f>
        <v>203</v>
      </c>
      <c r="J14" s="231">
        <f>'ORC DOM_2025'!Q59</f>
        <v>203</v>
      </c>
      <c r="K14" s="231">
        <f>'ORC DOM_2025'!S59</f>
        <v>209</v>
      </c>
      <c r="L14" s="231">
        <f>'ORC DOM_2025'!U59</f>
        <v>113</v>
      </c>
      <c r="M14" s="231">
        <f>'ORC DOM_2025'!W59</f>
        <v>313</v>
      </c>
      <c r="N14" s="231">
        <f>'ORC DOM_2025'!Y59</f>
        <v>113</v>
      </c>
      <c r="O14" s="229">
        <f t="shared" si="3"/>
        <v>2096</v>
      </c>
    </row>
    <row r="15" ht="12.75" customHeight="1">
      <c r="A15" s="3"/>
      <c r="B15" s="230" t="s">
        <v>71</v>
      </c>
      <c r="C15" s="231">
        <f>'ORC DOM_2025'!C71</f>
        <v>264.465</v>
      </c>
      <c r="D15" s="231">
        <f>'ORC DOM_2025'!E71</f>
        <v>434.465</v>
      </c>
      <c r="E15" s="231">
        <f>'ORC DOM_2025'!G71</f>
        <v>534.465</v>
      </c>
      <c r="F15" s="231">
        <f>'ORC DOM_2025'!I71</f>
        <v>434.465</v>
      </c>
      <c r="G15" s="231">
        <f>'ORC DOM_2025'!K71</f>
        <v>200</v>
      </c>
      <c r="H15" s="231">
        <f>'ORC DOM_2025'!M71</f>
        <v>400</v>
      </c>
      <c r="I15" s="231">
        <f>'ORC DOM_2025'!O71</f>
        <v>220</v>
      </c>
      <c r="J15" s="231">
        <f>'ORC DOM_2025'!Q71</f>
        <v>400</v>
      </c>
      <c r="K15" s="231">
        <f>'ORC DOM_2025'!S71</f>
        <v>100</v>
      </c>
      <c r="L15" s="231">
        <f>'ORC DOM_2025'!U71</f>
        <v>520</v>
      </c>
      <c r="M15" s="231">
        <f>'ORC DOM_2025'!W71</f>
        <v>100</v>
      </c>
      <c r="N15" s="231">
        <f>'ORC DOM_2025'!Y71</f>
        <v>400</v>
      </c>
      <c r="O15" s="229">
        <f t="shared" si="3"/>
        <v>4007.86</v>
      </c>
    </row>
    <row r="16" ht="12.75" customHeight="1">
      <c r="A16" s="3"/>
      <c r="B16" s="230" t="s">
        <v>82</v>
      </c>
      <c r="C16" s="231">
        <f>'ORC DOM_2025'!C83</f>
        <v>0</v>
      </c>
      <c r="D16" s="231">
        <f>'ORC DOM_2025'!E83</f>
        <v>60</v>
      </c>
      <c r="E16" s="231">
        <f>'ORC DOM_2025'!G83</f>
        <v>60</v>
      </c>
      <c r="F16" s="231">
        <f>'ORC DOM_2025'!I83</f>
        <v>60</v>
      </c>
      <c r="G16" s="231">
        <f>'ORC DOM_2025'!K83</f>
        <v>60</v>
      </c>
      <c r="H16" s="231">
        <f>'ORC DOM_2025'!M83</f>
        <v>60</v>
      </c>
      <c r="I16" s="231">
        <f>'ORC DOM_2025'!O83</f>
        <v>60</v>
      </c>
      <c r="J16" s="231">
        <f>'ORC DOM_2025'!Q83</f>
        <v>60</v>
      </c>
      <c r="K16" s="231">
        <f>'ORC DOM_2025'!S83</f>
        <v>60</v>
      </c>
      <c r="L16" s="231">
        <f>'ORC DOM_2025'!U83</f>
        <v>60</v>
      </c>
      <c r="M16" s="231">
        <f>'ORC DOM_2025'!W83</f>
        <v>60</v>
      </c>
      <c r="N16" s="231">
        <f>'ORC DOM_2025'!Y83</f>
        <v>60</v>
      </c>
      <c r="O16" s="229">
        <f t="shared" si="3"/>
        <v>660</v>
      </c>
    </row>
    <row r="17" ht="12.75" customHeight="1">
      <c r="A17" s="3"/>
      <c r="B17" s="230" t="s">
        <v>87</v>
      </c>
      <c r="C17" s="231">
        <f>'ORC DOM_2025'!C89</f>
        <v>0</v>
      </c>
      <c r="D17" s="231">
        <f>'ORC DOM_2025'!E89</f>
        <v>80</v>
      </c>
      <c r="E17" s="231">
        <f>'ORC DOM_2025'!G89</f>
        <v>80</v>
      </c>
      <c r="F17" s="231">
        <f>'ORC DOM_2025'!I89</f>
        <v>80</v>
      </c>
      <c r="G17" s="231">
        <f>'ORC DOM_2025'!K89</f>
        <v>0</v>
      </c>
      <c r="H17" s="231">
        <f>'ORC DOM_2025'!M89</f>
        <v>0</v>
      </c>
      <c r="I17" s="231">
        <f>'ORC DOM_2025'!O89</f>
        <v>0</v>
      </c>
      <c r="J17" s="231">
        <f>'ORC DOM_2025'!Q89</f>
        <v>0</v>
      </c>
      <c r="K17" s="231">
        <f>'ORC DOM_2025'!S89</f>
        <v>0</v>
      </c>
      <c r="L17" s="231">
        <f>'ORC DOM_2025'!U89</f>
        <v>0</v>
      </c>
      <c r="M17" s="231">
        <f>'ORC DOM_2025'!W89</f>
        <v>0</v>
      </c>
      <c r="N17" s="231">
        <f>'ORC DOM_2025'!Y89</f>
        <v>0</v>
      </c>
      <c r="O17" s="229">
        <f t="shared" si="3"/>
        <v>240</v>
      </c>
    </row>
    <row r="18" ht="12.75" customHeight="1">
      <c r="A18" s="3"/>
      <c r="B18" s="230" t="s">
        <v>94</v>
      </c>
      <c r="C18" s="231">
        <f>'ORC DOM_2025'!C96</f>
        <v>56.16</v>
      </c>
      <c r="D18" s="231">
        <f>'ORC DOM_2025'!E96</f>
        <v>56.16</v>
      </c>
      <c r="E18" s="231">
        <f>'ORC DOM_2025'!G96</f>
        <v>56.16</v>
      </c>
      <c r="F18" s="231">
        <f>'ORC DOM_2025'!I96</f>
        <v>56.16</v>
      </c>
      <c r="G18" s="231">
        <f>'ORC DOM_2025'!K96</f>
        <v>52</v>
      </c>
      <c r="H18" s="231">
        <f>'ORC DOM_2025'!M96</f>
        <v>0</v>
      </c>
      <c r="I18" s="231">
        <f>'ORC DOM_2025'!O96</f>
        <v>0</v>
      </c>
      <c r="J18" s="231">
        <f>'ORC DOM_2025'!Q96</f>
        <v>0</v>
      </c>
      <c r="K18" s="231">
        <f>'ORC DOM_2025'!S96</f>
        <v>0</v>
      </c>
      <c r="L18" s="231">
        <f>'ORC DOM_2025'!U96</f>
        <v>0</v>
      </c>
      <c r="M18" s="231">
        <f>'ORC DOM_2025'!W96</f>
        <v>0</v>
      </c>
      <c r="N18" s="231">
        <f>'ORC DOM_2025'!Y96</f>
        <v>0</v>
      </c>
      <c r="O18" s="229">
        <f t="shared" si="3"/>
        <v>276.64</v>
      </c>
    </row>
    <row r="19" ht="12.75" customHeight="1">
      <c r="A19" s="236"/>
      <c r="B19" s="237" t="s">
        <v>256</v>
      </c>
      <c r="C19" s="238">
        <f t="shared" ref="C19:O19" si="4">SUM(C10:C18)</f>
        <v>2028.935</v>
      </c>
      <c r="D19" s="238">
        <f t="shared" si="4"/>
        <v>2725.435</v>
      </c>
      <c r="E19" s="238">
        <f t="shared" si="4"/>
        <v>2825.435</v>
      </c>
      <c r="F19" s="238">
        <f t="shared" si="4"/>
        <v>2720.435</v>
      </c>
      <c r="G19" s="238">
        <f t="shared" si="4"/>
        <v>2442.81</v>
      </c>
      <c r="H19" s="238">
        <f t="shared" si="4"/>
        <v>2584.81</v>
      </c>
      <c r="I19" s="238">
        <f t="shared" si="4"/>
        <v>2404.81</v>
      </c>
      <c r="J19" s="238">
        <f t="shared" si="4"/>
        <v>3579.72</v>
      </c>
      <c r="K19" s="238">
        <f t="shared" si="4"/>
        <v>2229.81</v>
      </c>
      <c r="L19" s="238">
        <f t="shared" si="4"/>
        <v>2547.31</v>
      </c>
      <c r="M19" s="238">
        <f t="shared" si="4"/>
        <v>3320.81</v>
      </c>
      <c r="N19" s="238">
        <f t="shared" si="4"/>
        <v>2433.81</v>
      </c>
      <c r="O19" s="239">
        <f t="shared" si="4"/>
        <v>31844.13</v>
      </c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2.75" customHeight="1">
      <c r="A20" s="3"/>
      <c r="B20" s="3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</row>
    <row r="21">
      <c r="A21" s="3"/>
      <c r="B21" s="224" t="s">
        <v>257</v>
      </c>
      <c r="C21" s="225" t="s">
        <v>237</v>
      </c>
      <c r="D21" s="225" t="s">
        <v>238</v>
      </c>
      <c r="E21" s="225" t="s">
        <v>239</v>
      </c>
      <c r="F21" s="225" t="s">
        <v>240</v>
      </c>
      <c r="G21" s="225" t="s">
        <v>241</v>
      </c>
      <c r="H21" s="225" t="s">
        <v>242</v>
      </c>
      <c r="I21" s="225" t="s">
        <v>243</v>
      </c>
      <c r="J21" s="225" t="s">
        <v>244</v>
      </c>
      <c r="K21" s="225" t="s">
        <v>245</v>
      </c>
      <c r="L21" s="225" t="s">
        <v>246</v>
      </c>
      <c r="M21" s="225" t="s">
        <v>247</v>
      </c>
      <c r="N21" s="225" t="s">
        <v>248</v>
      </c>
      <c r="O21" s="226" t="s">
        <v>249</v>
      </c>
    </row>
    <row r="22" ht="12.75" customHeight="1">
      <c r="B22" s="227" t="s">
        <v>23</v>
      </c>
      <c r="C22" s="241">
        <f t="shared" ref="C22:O22" si="5">IFERROR(C10/C$5,0)</f>
        <v>0</v>
      </c>
      <c r="D22" s="241">
        <f t="shared" si="5"/>
        <v>0.09216012268</v>
      </c>
      <c r="E22" s="241">
        <f t="shared" si="5"/>
        <v>0.09047251988</v>
      </c>
      <c r="F22" s="241">
        <f t="shared" si="5"/>
        <v>0.09579755295</v>
      </c>
      <c r="G22" s="241">
        <f t="shared" si="5"/>
        <v>0</v>
      </c>
      <c r="H22" s="241">
        <f t="shared" si="5"/>
        <v>0</v>
      </c>
      <c r="I22" s="241">
        <f t="shared" si="5"/>
        <v>0</v>
      </c>
      <c r="J22" s="241">
        <f t="shared" si="5"/>
        <v>1.25</v>
      </c>
      <c r="K22" s="241">
        <f t="shared" si="5"/>
        <v>0</v>
      </c>
      <c r="L22" s="241">
        <f t="shared" si="5"/>
        <v>0</v>
      </c>
      <c r="M22" s="241">
        <f t="shared" si="5"/>
        <v>1.25</v>
      </c>
      <c r="N22" s="241">
        <f t="shared" si="5"/>
        <v>0</v>
      </c>
      <c r="O22" s="241">
        <f t="shared" si="5"/>
        <v>0.3928126044</v>
      </c>
    </row>
    <row r="23" ht="12.75" customHeight="1">
      <c r="B23" s="227" t="s">
        <v>31</v>
      </c>
      <c r="C23" s="241">
        <f t="shared" ref="C23:O23" si="6">IFERROR(C11/C$5,0)</f>
        <v>0.6735038646</v>
      </c>
      <c r="D23" s="241">
        <f t="shared" si="6"/>
        <v>0.5570157815</v>
      </c>
      <c r="E23" s="241">
        <f t="shared" si="6"/>
        <v>0.5468159101</v>
      </c>
      <c r="F23" s="241">
        <f t="shared" si="6"/>
        <v>0.577084459</v>
      </c>
      <c r="G23" s="241">
        <f t="shared" si="6"/>
        <v>0</v>
      </c>
      <c r="H23" s="241">
        <f t="shared" si="6"/>
        <v>0</v>
      </c>
      <c r="I23" s="241">
        <f t="shared" si="6"/>
        <v>0</v>
      </c>
      <c r="J23" s="241">
        <f t="shared" si="6"/>
        <v>1.506</v>
      </c>
      <c r="K23" s="241">
        <f t="shared" si="6"/>
        <v>0</v>
      </c>
      <c r="L23" s="241">
        <f t="shared" si="6"/>
        <v>0</v>
      </c>
      <c r="M23" s="241">
        <f t="shared" si="6"/>
        <v>1.506</v>
      </c>
      <c r="N23" s="241">
        <f t="shared" si="6"/>
        <v>0</v>
      </c>
      <c r="O23" s="241">
        <f t="shared" si="6"/>
        <v>1.482557466</v>
      </c>
    </row>
    <row r="24" ht="12.75" customHeight="1">
      <c r="B24" s="227" t="s">
        <v>255</v>
      </c>
      <c r="C24" s="241">
        <f t="shared" ref="C24:O24" si="7">IFERROR(C12/C$5,0)</f>
        <v>0.08262943085</v>
      </c>
      <c r="D24" s="241">
        <f t="shared" si="7"/>
        <v>0.06112427977</v>
      </c>
      <c r="E24" s="241">
        <f t="shared" si="7"/>
        <v>0.06000499408</v>
      </c>
      <c r="F24" s="241">
        <f t="shared" si="7"/>
        <v>0.06353676902</v>
      </c>
      <c r="G24" s="241">
        <f t="shared" si="7"/>
        <v>0</v>
      </c>
      <c r="H24" s="241">
        <f t="shared" si="7"/>
        <v>0</v>
      </c>
      <c r="I24" s="241">
        <f t="shared" si="7"/>
        <v>0</v>
      </c>
      <c r="J24" s="241">
        <f t="shared" si="7"/>
        <v>0.16072</v>
      </c>
      <c r="K24" s="241">
        <f t="shared" si="7"/>
        <v>0</v>
      </c>
      <c r="L24" s="241">
        <f t="shared" si="7"/>
        <v>0</v>
      </c>
      <c r="M24" s="241">
        <f t="shared" si="7"/>
        <v>0.09181</v>
      </c>
      <c r="N24" s="241">
        <f t="shared" si="7"/>
        <v>0</v>
      </c>
      <c r="O24" s="241">
        <f t="shared" si="7"/>
        <v>0.1423329595</v>
      </c>
    </row>
    <row r="25" ht="12.75" customHeight="1">
      <c r="B25" s="230" t="s">
        <v>53</v>
      </c>
      <c r="C25" s="241">
        <f t="shared" ref="C25:O25" si="8">IFERROR(C13/C$5,0)</f>
        <v>0</v>
      </c>
      <c r="D25" s="241">
        <f t="shared" si="8"/>
        <v>0.02027522699</v>
      </c>
      <c r="E25" s="241">
        <f t="shared" si="8"/>
        <v>0.01990395437</v>
      </c>
      <c r="F25" s="241">
        <f t="shared" si="8"/>
        <v>0.02107546165</v>
      </c>
      <c r="G25" s="241">
        <f t="shared" si="8"/>
        <v>0</v>
      </c>
      <c r="H25" s="241">
        <f t="shared" si="8"/>
        <v>0</v>
      </c>
      <c r="I25" s="241">
        <f t="shared" si="8"/>
        <v>0</v>
      </c>
      <c r="J25" s="241">
        <f t="shared" si="8"/>
        <v>0</v>
      </c>
      <c r="K25" s="241">
        <f t="shared" si="8"/>
        <v>0</v>
      </c>
      <c r="L25" s="241">
        <f t="shared" si="8"/>
        <v>0</v>
      </c>
      <c r="M25" s="241">
        <f t="shared" si="8"/>
        <v>0</v>
      </c>
      <c r="N25" s="241">
        <f t="shared" si="8"/>
        <v>0</v>
      </c>
      <c r="O25" s="241">
        <f t="shared" si="8"/>
        <v>0.01364506942</v>
      </c>
    </row>
    <row r="26" ht="12.75" customHeight="1">
      <c r="B26" s="230" t="s">
        <v>59</v>
      </c>
      <c r="C26" s="241">
        <f t="shared" ref="C26:O26" si="9">IFERROR(C14/C$5,0)</f>
        <v>0.09518256614</v>
      </c>
      <c r="D26" s="241">
        <f t="shared" si="9"/>
        <v>0.04165637545</v>
      </c>
      <c r="E26" s="241">
        <f t="shared" si="9"/>
        <v>0.04089357898</v>
      </c>
      <c r="F26" s="241">
        <f t="shared" si="9"/>
        <v>0.04330049393</v>
      </c>
      <c r="G26" s="241">
        <f t="shared" si="9"/>
        <v>0</v>
      </c>
      <c r="H26" s="241">
        <f t="shared" si="9"/>
        <v>0</v>
      </c>
      <c r="I26" s="241">
        <f t="shared" si="9"/>
        <v>0</v>
      </c>
      <c r="J26" s="241">
        <f t="shared" si="9"/>
        <v>0.203</v>
      </c>
      <c r="K26" s="241">
        <f t="shared" si="9"/>
        <v>0</v>
      </c>
      <c r="L26" s="241">
        <f t="shared" si="9"/>
        <v>0</v>
      </c>
      <c r="M26" s="241">
        <f t="shared" si="9"/>
        <v>0.313</v>
      </c>
      <c r="N26" s="241">
        <f t="shared" si="9"/>
        <v>0</v>
      </c>
      <c r="O26" s="241">
        <f t="shared" si="9"/>
        <v>0.1733337303</v>
      </c>
    </row>
    <row r="27" ht="12.75" customHeight="1">
      <c r="B27" s="230" t="s">
        <v>71</v>
      </c>
      <c r="C27" s="241">
        <f t="shared" ref="C27:O27" si="10">IFERROR(C15/C$5,0)</f>
        <v>0.1317929704</v>
      </c>
      <c r="D27" s="241">
        <f t="shared" si="10"/>
        <v>0.1601613908</v>
      </c>
      <c r="E27" s="241">
        <f t="shared" si="10"/>
        <v>0.1934175813</v>
      </c>
      <c r="F27" s="241">
        <f t="shared" si="10"/>
        <v>0.1664827354</v>
      </c>
      <c r="G27" s="241">
        <f t="shared" si="10"/>
        <v>0</v>
      </c>
      <c r="H27" s="241">
        <f t="shared" si="10"/>
        <v>0</v>
      </c>
      <c r="I27" s="241">
        <f t="shared" si="10"/>
        <v>0</v>
      </c>
      <c r="J27" s="241">
        <f t="shared" si="10"/>
        <v>0.4</v>
      </c>
      <c r="K27" s="241">
        <f t="shared" si="10"/>
        <v>0</v>
      </c>
      <c r="L27" s="241">
        <f t="shared" si="10"/>
        <v>0</v>
      </c>
      <c r="M27" s="241">
        <f t="shared" si="10"/>
        <v>0.1</v>
      </c>
      <c r="N27" s="241">
        <f t="shared" si="10"/>
        <v>0</v>
      </c>
      <c r="O27" s="241">
        <f t="shared" si="10"/>
        <v>0.3314395631</v>
      </c>
    </row>
    <row r="28" ht="12.75" customHeight="1">
      <c r="B28" s="230" t="s">
        <v>82</v>
      </c>
      <c r="C28" s="241">
        <f t="shared" ref="C28:O28" si="11">IFERROR(C16/C$5,0)</f>
        <v>0</v>
      </c>
      <c r="D28" s="241">
        <f t="shared" si="11"/>
        <v>0.02211842944</v>
      </c>
      <c r="E28" s="241">
        <f t="shared" si="11"/>
        <v>0.02171340477</v>
      </c>
      <c r="F28" s="241">
        <f t="shared" si="11"/>
        <v>0.02299141271</v>
      </c>
      <c r="G28" s="241">
        <f t="shared" si="11"/>
        <v>0</v>
      </c>
      <c r="H28" s="241">
        <f t="shared" si="11"/>
        <v>0</v>
      </c>
      <c r="I28" s="241">
        <f t="shared" si="11"/>
        <v>0</v>
      </c>
      <c r="J28" s="241">
        <f t="shared" si="11"/>
        <v>0.06</v>
      </c>
      <c r="K28" s="241">
        <f t="shared" si="11"/>
        <v>0</v>
      </c>
      <c r="L28" s="241">
        <f t="shared" si="11"/>
        <v>0</v>
      </c>
      <c r="M28" s="241">
        <f t="shared" si="11"/>
        <v>0.06</v>
      </c>
      <c r="N28" s="241">
        <f t="shared" si="11"/>
        <v>0</v>
      </c>
      <c r="O28" s="241">
        <f t="shared" si="11"/>
        <v>0.05458027766</v>
      </c>
    </row>
    <row r="29" ht="12.75" customHeight="1">
      <c r="B29" s="230" t="s">
        <v>87</v>
      </c>
      <c r="C29" s="241">
        <f t="shared" ref="C29:O29" si="12">IFERROR(C17/C$5,0)</f>
        <v>0</v>
      </c>
      <c r="D29" s="241">
        <f t="shared" si="12"/>
        <v>0.02949123926</v>
      </c>
      <c r="E29" s="241">
        <f t="shared" si="12"/>
        <v>0.02895120636</v>
      </c>
      <c r="F29" s="241">
        <f t="shared" si="12"/>
        <v>0.03065521694</v>
      </c>
      <c r="G29" s="241">
        <f t="shared" si="12"/>
        <v>0</v>
      </c>
      <c r="H29" s="241">
        <f t="shared" si="12"/>
        <v>0</v>
      </c>
      <c r="I29" s="241">
        <f t="shared" si="12"/>
        <v>0</v>
      </c>
      <c r="J29" s="241">
        <f t="shared" si="12"/>
        <v>0</v>
      </c>
      <c r="K29" s="241">
        <f t="shared" si="12"/>
        <v>0</v>
      </c>
      <c r="L29" s="241">
        <f t="shared" si="12"/>
        <v>0</v>
      </c>
      <c r="M29" s="241">
        <f t="shared" si="12"/>
        <v>0</v>
      </c>
      <c r="N29" s="241">
        <f t="shared" si="12"/>
        <v>0</v>
      </c>
      <c r="O29" s="241">
        <f t="shared" si="12"/>
        <v>0.0198473737</v>
      </c>
    </row>
    <row r="30" ht="12.75" customHeight="1">
      <c r="B30" s="230" t="s">
        <v>94</v>
      </c>
      <c r="C30" s="241">
        <f t="shared" ref="C30:O30" si="13">IFERROR(C18/C$5,0)</f>
        <v>0.02798666447</v>
      </c>
      <c r="D30" s="241">
        <f t="shared" si="13"/>
        <v>0.02070284996</v>
      </c>
      <c r="E30" s="241">
        <f t="shared" si="13"/>
        <v>0.02032374687</v>
      </c>
      <c r="F30" s="241">
        <f t="shared" si="13"/>
        <v>0.02151996229</v>
      </c>
      <c r="G30" s="241">
        <f t="shared" si="13"/>
        <v>0</v>
      </c>
      <c r="H30" s="241">
        <f t="shared" si="13"/>
        <v>0</v>
      </c>
      <c r="I30" s="241">
        <f t="shared" si="13"/>
        <v>0</v>
      </c>
      <c r="J30" s="241">
        <f t="shared" si="13"/>
        <v>0</v>
      </c>
      <c r="K30" s="241">
        <f t="shared" si="13"/>
        <v>0</v>
      </c>
      <c r="L30" s="241">
        <f t="shared" si="13"/>
        <v>0</v>
      </c>
      <c r="M30" s="241">
        <f t="shared" si="13"/>
        <v>0</v>
      </c>
      <c r="N30" s="241">
        <f t="shared" si="13"/>
        <v>0</v>
      </c>
      <c r="O30" s="241">
        <f t="shared" si="13"/>
        <v>0.02287740608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conditionalFormatting sqref="C7:O7">
    <cfRule type="cellIs" dxfId="2" priority="1" operator="greaterThan">
      <formula>0</formula>
    </cfRule>
  </conditionalFormatting>
  <conditionalFormatting sqref="C7:O7">
    <cfRule type="cellIs" dxfId="3" priority="2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12" width="10.63"/>
    <col customWidth="1" min="13" max="13" width="14.88"/>
    <col customWidth="1" min="14" max="26" width="16.38"/>
  </cols>
  <sheetData>
    <row r="1" ht="12.75" customHeight="1">
      <c r="A1" s="242"/>
      <c r="B1" s="243" t="s">
        <v>14</v>
      </c>
      <c r="C1" s="243" t="s">
        <v>14</v>
      </c>
      <c r="D1" s="243" t="s">
        <v>14</v>
      </c>
      <c r="E1" s="243" t="s">
        <v>14</v>
      </c>
      <c r="F1" s="243" t="s">
        <v>14</v>
      </c>
      <c r="G1" s="243" t="s">
        <v>14</v>
      </c>
      <c r="H1" s="243" t="s">
        <v>14</v>
      </c>
      <c r="I1" s="243" t="s">
        <v>14</v>
      </c>
      <c r="J1" s="243" t="s">
        <v>14</v>
      </c>
      <c r="K1" s="243" t="s">
        <v>14</v>
      </c>
      <c r="L1" s="243" t="s">
        <v>14</v>
      </c>
      <c r="M1" s="243" t="s">
        <v>14</v>
      </c>
      <c r="N1" s="112"/>
      <c r="O1" s="112"/>
      <c r="P1" s="112"/>
      <c r="Q1" s="112"/>
      <c r="R1" s="112"/>
      <c r="S1" s="112"/>
    </row>
    <row r="2" ht="12.75" customHeight="1">
      <c r="A2" s="244"/>
      <c r="B2" s="245" t="s">
        <v>185</v>
      </c>
      <c r="C2" s="245" t="s">
        <v>190</v>
      </c>
      <c r="D2" s="245" t="s">
        <v>192</v>
      </c>
      <c r="E2" s="245" t="s">
        <v>194</v>
      </c>
      <c r="F2" s="245" t="s">
        <v>199</v>
      </c>
      <c r="G2" s="245" t="s">
        <v>202</v>
      </c>
      <c r="H2" s="245" t="s">
        <v>258</v>
      </c>
      <c r="I2" s="245" t="s">
        <v>259</v>
      </c>
      <c r="J2" s="245" t="s">
        <v>260</v>
      </c>
      <c r="K2" s="245" t="s">
        <v>261</v>
      </c>
      <c r="L2" s="245" t="s">
        <v>262</v>
      </c>
      <c r="M2" s="245" t="s">
        <v>263</v>
      </c>
      <c r="N2" s="112"/>
      <c r="O2" s="112"/>
      <c r="P2" s="245" t="s">
        <v>264</v>
      </c>
      <c r="Q2" s="245" t="s">
        <v>122</v>
      </c>
      <c r="R2" s="246"/>
      <c r="S2" s="246"/>
    </row>
    <row r="3" ht="12.75" customHeight="1">
      <c r="A3" s="247" t="s">
        <v>265</v>
      </c>
      <c r="B3" s="248" t="str">
        <f>'ORC DOM_2025'!C24</f>
        <v/>
      </c>
      <c r="C3" s="248" t="str">
        <f t="shared" ref="C3:M3" si="1">B3</f>
        <v/>
      </c>
      <c r="D3" s="248" t="str">
        <f t="shared" si="1"/>
        <v/>
      </c>
      <c r="E3" s="248" t="str">
        <f t="shared" si="1"/>
        <v/>
      </c>
      <c r="F3" s="248" t="str">
        <f t="shared" si="1"/>
        <v/>
      </c>
      <c r="G3" s="248" t="str">
        <f t="shared" si="1"/>
        <v/>
      </c>
      <c r="H3" s="248" t="str">
        <f t="shared" si="1"/>
        <v/>
      </c>
      <c r="I3" s="248" t="str">
        <f t="shared" si="1"/>
        <v/>
      </c>
      <c r="J3" s="248" t="str">
        <f t="shared" si="1"/>
        <v/>
      </c>
      <c r="K3" s="248" t="str">
        <f t="shared" si="1"/>
        <v/>
      </c>
      <c r="L3" s="248" t="str">
        <f t="shared" si="1"/>
        <v/>
      </c>
      <c r="M3" s="248" t="str">
        <f t="shared" si="1"/>
        <v/>
      </c>
      <c r="N3" s="112"/>
      <c r="O3" s="249">
        <v>2024.0</v>
      </c>
      <c r="P3" s="250" t="s">
        <v>126</v>
      </c>
      <c r="Q3" s="251">
        <f>B12</f>
        <v>9853.93</v>
      </c>
      <c r="R3" s="252" t="s">
        <v>266</v>
      </c>
      <c r="S3" s="253"/>
      <c r="T3" s="254" t="s">
        <v>267</v>
      </c>
    </row>
    <row r="4" ht="12.75" customHeight="1">
      <c r="A4" s="255" t="s">
        <v>93</v>
      </c>
      <c r="B4" s="256">
        <f>713/12</f>
        <v>59.41666667</v>
      </c>
      <c r="C4" s="256">
        <f t="shared" ref="C4:M4" si="2">B4</f>
        <v>59.41666667</v>
      </c>
      <c r="D4" s="256">
        <f t="shared" si="2"/>
        <v>59.41666667</v>
      </c>
      <c r="E4" s="256">
        <f t="shared" si="2"/>
        <v>59.41666667</v>
      </c>
      <c r="F4" s="256">
        <f t="shared" si="2"/>
        <v>59.41666667</v>
      </c>
      <c r="G4" s="256">
        <f t="shared" si="2"/>
        <v>59.41666667</v>
      </c>
      <c r="H4" s="256">
        <f t="shared" si="2"/>
        <v>59.41666667</v>
      </c>
      <c r="I4" s="256">
        <f t="shared" si="2"/>
        <v>59.41666667</v>
      </c>
      <c r="J4" s="256">
        <f t="shared" si="2"/>
        <v>59.41666667</v>
      </c>
      <c r="K4" s="256">
        <f t="shared" si="2"/>
        <v>59.41666667</v>
      </c>
      <c r="L4" s="256">
        <f t="shared" si="2"/>
        <v>59.41666667</v>
      </c>
      <c r="M4" s="256">
        <f t="shared" si="2"/>
        <v>59.41666667</v>
      </c>
      <c r="N4" s="112"/>
      <c r="O4" s="163">
        <v>2025.0</v>
      </c>
      <c r="P4" s="112" t="s">
        <v>127</v>
      </c>
      <c r="Q4" s="257">
        <f>M17</f>
        <v>27882.47962</v>
      </c>
      <c r="R4" s="258" t="s">
        <v>268</v>
      </c>
      <c r="S4" s="259"/>
      <c r="T4" s="4" t="s">
        <v>269</v>
      </c>
    </row>
    <row r="5" ht="12.75" customHeight="1">
      <c r="A5" s="255" t="s">
        <v>270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112"/>
      <c r="O5" s="163">
        <v>2026.0</v>
      </c>
      <c r="P5" s="112" t="s">
        <v>128</v>
      </c>
      <c r="Q5" s="257">
        <f>Q4+(Q4*N20)</f>
        <v>69706.19904</v>
      </c>
      <c r="R5" s="258" t="s">
        <v>271</v>
      </c>
      <c r="S5" s="180"/>
      <c r="T5" s="261" t="s">
        <v>272</v>
      </c>
    </row>
    <row r="6" ht="15.75" customHeight="1">
      <c r="A6" s="247" t="s">
        <v>136</v>
      </c>
      <c r="B6" s="262">
        <f t="shared" ref="B6:M6" si="3">SUM(B3:B5)</f>
        <v>59.41666667</v>
      </c>
      <c r="C6" s="262">
        <f t="shared" si="3"/>
        <v>59.41666667</v>
      </c>
      <c r="D6" s="262">
        <f t="shared" si="3"/>
        <v>59.41666667</v>
      </c>
      <c r="E6" s="262">
        <f t="shared" si="3"/>
        <v>59.41666667</v>
      </c>
      <c r="F6" s="262">
        <f t="shared" si="3"/>
        <v>59.41666667</v>
      </c>
      <c r="G6" s="262">
        <f t="shared" si="3"/>
        <v>59.41666667</v>
      </c>
      <c r="H6" s="262">
        <f t="shared" si="3"/>
        <v>59.41666667</v>
      </c>
      <c r="I6" s="262">
        <f t="shared" si="3"/>
        <v>59.41666667</v>
      </c>
      <c r="J6" s="262">
        <f t="shared" si="3"/>
        <v>59.41666667</v>
      </c>
      <c r="K6" s="262">
        <f t="shared" si="3"/>
        <v>59.41666667</v>
      </c>
      <c r="L6" s="262">
        <f t="shared" si="3"/>
        <v>59.41666667</v>
      </c>
      <c r="M6" s="262">
        <f t="shared" si="3"/>
        <v>59.41666667</v>
      </c>
      <c r="N6" s="112"/>
      <c r="O6" s="163">
        <v>2027.0</v>
      </c>
      <c r="P6" s="112" t="s">
        <v>129</v>
      </c>
      <c r="Q6" s="257">
        <f>Q5+(Q5*N20)</f>
        <v>174265.4976</v>
      </c>
      <c r="R6" s="263" t="s">
        <v>14</v>
      </c>
      <c r="S6" s="264"/>
      <c r="T6" s="261" t="s">
        <v>273</v>
      </c>
    </row>
    <row r="7" ht="15.75" customHeight="1"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112"/>
      <c r="O7" s="266">
        <v>2028.0</v>
      </c>
      <c r="P7" s="267" t="s">
        <v>130</v>
      </c>
      <c r="Q7" s="268">
        <f>Q6+(Q6*N20)</f>
        <v>435663.744</v>
      </c>
      <c r="R7" s="268">
        <f>Q7*0.8%</f>
        <v>3485.309952</v>
      </c>
      <c r="S7" s="267" t="s">
        <v>274</v>
      </c>
      <c r="T7" s="261" t="s">
        <v>275</v>
      </c>
    </row>
    <row r="8" ht="12.75" customHeight="1">
      <c r="A8" s="112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112"/>
    </row>
    <row r="9" ht="12.75" customHeight="1">
      <c r="A9" s="269" t="s">
        <v>276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80"/>
      <c r="N9" s="112"/>
    </row>
    <row r="10" ht="12.75" customHeight="1">
      <c r="A10" s="188"/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188"/>
    </row>
    <row r="11" ht="12.75" customHeight="1">
      <c r="A11" s="112" t="s">
        <v>277</v>
      </c>
      <c r="B11" s="271">
        <v>0.1</v>
      </c>
      <c r="C11" s="271">
        <v>0.1</v>
      </c>
      <c r="D11" s="271">
        <v>0.1</v>
      </c>
      <c r="E11" s="271">
        <v>0.1</v>
      </c>
      <c r="F11" s="271">
        <v>0.1</v>
      </c>
      <c r="G11" s="271">
        <v>0.1</v>
      </c>
      <c r="H11" s="271">
        <v>0.1</v>
      </c>
      <c r="I11" s="271">
        <v>0.1</v>
      </c>
      <c r="J11" s="271">
        <v>0.1</v>
      </c>
      <c r="K11" s="271">
        <v>0.1</v>
      </c>
      <c r="L11" s="271">
        <v>0.1</v>
      </c>
      <c r="M11" s="271">
        <v>0.1</v>
      </c>
      <c r="N11" s="112"/>
    </row>
    <row r="12" ht="12.75" customHeight="1">
      <c r="A12" s="272" t="s">
        <v>278</v>
      </c>
      <c r="B12" s="273">
        <v>9853.93</v>
      </c>
      <c r="C12" s="273">
        <f t="shared" ref="C12:M12" si="4">B17</f>
        <v>10904.68133</v>
      </c>
      <c r="D12" s="273">
        <f t="shared" si="4"/>
        <v>12060.5078</v>
      </c>
      <c r="E12" s="273">
        <f t="shared" si="4"/>
        <v>13331.91691</v>
      </c>
      <c r="F12" s="273">
        <f t="shared" si="4"/>
        <v>14730.46694</v>
      </c>
      <c r="G12" s="273">
        <f t="shared" si="4"/>
        <v>16268.87197</v>
      </c>
      <c r="H12" s="273">
        <f t="shared" si="4"/>
        <v>16337.11749</v>
      </c>
      <c r="I12" s="273">
        <f t="shared" si="4"/>
        <v>18036.18758</v>
      </c>
      <c r="J12" s="273">
        <f t="shared" si="4"/>
        <v>19905.16467</v>
      </c>
      <c r="K12" s="273">
        <f t="shared" si="4"/>
        <v>21961.03947</v>
      </c>
      <c r="L12" s="273">
        <f t="shared" si="4"/>
        <v>24222.50175</v>
      </c>
      <c r="M12" s="273">
        <f t="shared" si="4"/>
        <v>26710.11026</v>
      </c>
      <c r="N12" s="112"/>
      <c r="O12" s="112"/>
      <c r="P12" s="112"/>
      <c r="Q12" s="112"/>
      <c r="R12" s="112"/>
      <c r="S12" s="112"/>
    </row>
    <row r="13" ht="17.25" customHeight="1">
      <c r="A13" s="274" t="s">
        <v>279</v>
      </c>
      <c r="B13" s="275"/>
      <c r="C13" s="276"/>
      <c r="D13" s="276"/>
      <c r="E13" s="276"/>
      <c r="F13" s="277"/>
      <c r="G13" s="278">
        <f>(OBJ_2026!S15)+100</f>
        <v>1624</v>
      </c>
      <c r="H13" s="279"/>
      <c r="I13" s="276"/>
      <c r="J13" s="276"/>
      <c r="K13" s="276"/>
      <c r="L13" s="276"/>
      <c r="M13" s="278">
        <f>OBJ_2026!I7+100-800</f>
        <v>1564</v>
      </c>
      <c r="N13" s="280"/>
      <c r="O13" s="280"/>
      <c r="P13" s="280"/>
      <c r="Q13" s="280"/>
      <c r="R13" s="280"/>
      <c r="S13" s="112"/>
      <c r="T13" s="279"/>
      <c r="U13" s="279"/>
      <c r="V13" s="279"/>
      <c r="W13" s="279"/>
      <c r="X13" s="279"/>
      <c r="Y13" s="279"/>
      <c r="Z13" s="279"/>
    </row>
    <row r="14" ht="12.75" customHeight="1">
      <c r="A14" s="272" t="s">
        <v>280</v>
      </c>
      <c r="B14" s="273">
        <f t="shared" ref="B14:M14" si="5">B6</f>
        <v>59.41666667</v>
      </c>
      <c r="C14" s="273">
        <f t="shared" si="5"/>
        <v>59.41666667</v>
      </c>
      <c r="D14" s="273">
        <f t="shared" si="5"/>
        <v>59.41666667</v>
      </c>
      <c r="E14" s="273">
        <f t="shared" si="5"/>
        <v>59.41666667</v>
      </c>
      <c r="F14" s="273">
        <f t="shared" si="5"/>
        <v>59.41666667</v>
      </c>
      <c r="G14" s="273">
        <f t="shared" si="5"/>
        <v>59.41666667</v>
      </c>
      <c r="H14" s="273">
        <f t="shared" si="5"/>
        <v>59.41666667</v>
      </c>
      <c r="I14" s="273">
        <f t="shared" si="5"/>
        <v>59.41666667</v>
      </c>
      <c r="J14" s="273">
        <f t="shared" si="5"/>
        <v>59.41666667</v>
      </c>
      <c r="K14" s="273">
        <f t="shared" si="5"/>
        <v>59.41666667</v>
      </c>
      <c r="L14" s="273">
        <f t="shared" si="5"/>
        <v>59.41666667</v>
      </c>
      <c r="M14" s="273">
        <f t="shared" si="5"/>
        <v>59.41666667</v>
      </c>
      <c r="N14" s="112"/>
      <c r="O14" s="112"/>
      <c r="P14" s="112"/>
      <c r="Q14" s="112"/>
      <c r="R14" s="112"/>
      <c r="S14" s="112"/>
    </row>
    <row r="15" ht="12.75" customHeight="1">
      <c r="A15" s="272" t="s">
        <v>281</v>
      </c>
      <c r="B15" s="273">
        <f t="shared" ref="B15:M15" si="6">(B12+B14)*B11</f>
        <v>991.3346667</v>
      </c>
      <c r="C15" s="273">
        <f t="shared" si="6"/>
        <v>1096.4098</v>
      </c>
      <c r="D15" s="273">
        <f t="shared" si="6"/>
        <v>1211.992447</v>
      </c>
      <c r="E15" s="273">
        <f t="shared" si="6"/>
        <v>1339.133358</v>
      </c>
      <c r="F15" s="273">
        <f t="shared" si="6"/>
        <v>1478.98836</v>
      </c>
      <c r="G15" s="273">
        <f t="shared" si="6"/>
        <v>1632.828863</v>
      </c>
      <c r="H15" s="273">
        <f t="shared" si="6"/>
        <v>1639.653416</v>
      </c>
      <c r="I15" s="273">
        <f t="shared" si="6"/>
        <v>1809.560424</v>
      </c>
      <c r="J15" s="273">
        <f t="shared" si="6"/>
        <v>1996.458134</v>
      </c>
      <c r="K15" s="273">
        <f t="shared" si="6"/>
        <v>2202.045614</v>
      </c>
      <c r="L15" s="273">
        <f t="shared" si="6"/>
        <v>2428.191842</v>
      </c>
      <c r="M15" s="273">
        <f t="shared" si="6"/>
        <v>2676.952692</v>
      </c>
      <c r="N15" s="112"/>
      <c r="O15" s="112"/>
      <c r="P15" s="112"/>
      <c r="Q15" s="112"/>
      <c r="R15" s="112"/>
      <c r="S15" s="112"/>
    </row>
    <row r="16" ht="12.75" customHeight="1">
      <c r="A16" s="112"/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112"/>
      <c r="P16" s="112"/>
      <c r="Q16" s="112"/>
      <c r="R16" s="112"/>
      <c r="S16" s="112"/>
    </row>
    <row r="17" ht="12.75" customHeight="1">
      <c r="A17" s="272" t="s">
        <v>282</v>
      </c>
      <c r="B17" s="273">
        <f t="shared" ref="B17:M17" si="7">(B12-B13+B14)+B15</f>
        <v>10904.68133</v>
      </c>
      <c r="C17" s="273">
        <f t="shared" si="7"/>
        <v>12060.5078</v>
      </c>
      <c r="D17" s="273">
        <f t="shared" si="7"/>
        <v>13331.91691</v>
      </c>
      <c r="E17" s="273">
        <f t="shared" si="7"/>
        <v>14730.46694</v>
      </c>
      <c r="F17" s="273">
        <f t="shared" si="7"/>
        <v>16268.87197</v>
      </c>
      <c r="G17" s="273">
        <f t="shared" si="7"/>
        <v>16337.11749</v>
      </c>
      <c r="H17" s="273">
        <f t="shared" si="7"/>
        <v>18036.18758</v>
      </c>
      <c r="I17" s="273">
        <f t="shared" si="7"/>
        <v>19905.16467</v>
      </c>
      <c r="J17" s="273">
        <f t="shared" si="7"/>
        <v>21961.03947</v>
      </c>
      <c r="K17" s="273">
        <f t="shared" si="7"/>
        <v>24222.50175</v>
      </c>
      <c r="L17" s="273">
        <f t="shared" si="7"/>
        <v>26710.11026</v>
      </c>
      <c r="M17" s="282">
        <f t="shared" si="7"/>
        <v>27882.47962</v>
      </c>
      <c r="P17" s="112"/>
      <c r="Q17" s="112"/>
      <c r="R17" s="112"/>
      <c r="S17" s="112"/>
    </row>
    <row r="18" ht="12.75" customHeight="1">
      <c r="A18" s="112"/>
      <c r="B18" s="283"/>
      <c r="C18" s="284"/>
      <c r="D18" s="283"/>
      <c r="E18" s="283"/>
      <c r="F18" s="283"/>
      <c r="G18" s="283"/>
      <c r="H18" s="284"/>
      <c r="I18" s="284"/>
      <c r="J18" s="284"/>
      <c r="K18" s="284"/>
      <c r="L18" s="285"/>
      <c r="M18" s="286"/>
      <c r="N18" s="112"/>
      <c r="O18" s="112"/>
      <c r="P18" s="112"/>
      <c r="Q18" s="112"/>
      <c r="R18" s="112"/>
      <c r="S18" s="112"/>
    </row>
    <row r="19" ht="12.75" customHeight="1">
      <c r="A19" s="188"/>
      <c r="B19" s="246"/>
      <c r="C19" s="246"/>
      <c r="D19" s="246"/>
      <c r="E19" s="246"/>
      <c r="F19" s="246"/>
      <c r="G19" s="265"/>
      <c r="H19" s="265"/>
      <c r="I19" s="246" t="s">
        <v>14</v>
      </c>
      <c r="J19" s="246" t="s">
        <v>14</v>
      </c>
      <c r="K19" s="270"/>
      <c r="L19" s="270"/>
      <c r="M19" s="287">
        <f>B17+(B17*N20)</f>
        <v>27261.70333</v>
      </c>
      <c r="N19" s="246" t="s">
        <v>283</v>
      </c>
      <c r="O19" s="112"/>
      <c r="P19" s="112"/>
      <c r="Q19" s="112"/>
      <c r="R19" s="112"/>
      <c r="S19" s="112"/>
    </row>
    <row r="20" ht="12.75" customHeight="1">
      <c r="A20" s="288"/>
      <c r="B20" s="289"/>
      <c r="C20" s="289"/>
      <c r="D20" s="246"/>
      <c r="E20" s="246"/>
      <c r="F20" s="246"/>
      <c r="G20" s="265"/>
      <c r="H20" s="265"/>
      <c r="I20" s="246" t="s">
        <v>14</v>
      </c>
      <c r="J20" s="246"/>
      <c r="K20" s="270"/>
      <c r="L20" s="246"/>
      <c r="M20" s="290"/>
      <c r="N20" s="291">
        <v>1.5</v>
      </c>
      <c r="O20" s="112"/>
      <c r="P20" s="112"/>
      <c r="Q20" s="112"/>
      <c r="R20" s="112"/>
      <c r="S20" s="112"/>
    </row>
    <row r="21" ht="12.75" customHeight="1">
      <c r="A21" s="280"/>
      <c r="B21" s="289"/>
      <c r="C21" s="289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112"/>
      <c r="O21" s="112"/>
      <c r="P21" s="112"/>
      <c r="Q21" s="112"/>
      <c r="R21" s="112"/>
      <c r="S21" s="112"/>
    </row>
    <row r="22" ht="12.75" customHeight="1">
      <c r="A22" s="292"/>
      <c r="B22" s="289"/>
      <c r="C22" s="293"/>
      <c r="D22" s="246"/>
      <c r="E22" s="246"/>
      <c r="F22" s="246"/>
      <c r="G22" s="246"/>
      <c r="H22" s="246"/>
      <c r="I22" s="246" t="s">
        <v>14</v>
      </c>
      <c r="J22" s="246" t="s">
        <v>14</v>
      </c>
      <c r="K22" s="246" t="s">
        <v>14</v>
      </c>
      <c r="L22" s="294" t="s">
        <v>14</v>
      </c>
      <c r="M22" s="295"/>
      <c r="N22" s="112"/>
      <c r="O22" s="112"/>
      <c r="P22" s="112"/>
      <c r="Q22" s="112"/>
      <c r="R22" s="112"/>
      <c r="S22" s="112"/>
    </row>
    <row r="23" ht="12.75" customHeight="1">
      <c r="A23" s="280"/>
      <c r="B23" s="289"/>
      <c r="C23" s="29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112"/>
      <c r="O23" s="112"/>
      <c r="P23" s="112"/>
      <c r="Q23" s="112"/>
      <c r="R23" s="112"/>
      <c r="S23" s="112"/>
    </row>
    <row r="24" ht="12.75" customHeight="1">
      <c r="A24" s="280"/>
      <c r="B24" s="289"/>
      <c r="C24" s="297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112"/>
      <c r="O24" s="112"/>
      <c r="P24" s="112"/>
      <c r="Q24" s="112"/>
      <c r="R24" s="112"/>
      <c r="S24" s="112"/>
    </row>
    <row r="25" ht="12.75" customHeight="1">
      <c r="A25" s="280"/>
      <c r="B25" s="289"/>
      <c r="C25" s="293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112"/>
      <c r="O25" s="112"/>
      <c r="P25" s="112"/>
      <c r="Q25" s="112"/>
      <c r="R25" s="112"/>
      <c r="S25" s="112"/>
    </row>
    <row r="26" ht="12.75" customHeight="1">
      <c r="A26" s="280"/>
      <c r="B26" s="289"/>
      <c r="C26" s="289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112"/>
      <c r="O26" s="112"/>
      <c r="P26" s="112"/>
      <c r="Q26" s="112"/>
      <c r="R26" s="112"/>
      <c r="S26" s="112"/>
    </row>
    <row r="27" ht="12.75" customHeight="1">
      <c r="A27" s="280"/>
      <c r="B27" s="289"/>
      <c r="C27" s="293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112"/>
      <c r="O27" s="112"/>
      <c r="P27" s="112"/>
      <c r="Q27" s="112"/>
      <c r="R27" s="112"/>
      <c r="S27" s="112"/>
    </row>
    <row r="28" ht="12.75" customHeight="1">
      <c r="A28" s="280"/>
      <c r="B28" s="289"/>
      <c r="C28" s="28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112"/>
      <c r="O28" s="112"/>
      <c r="P28" s="112"/>
      <c r="Q28" s="112"/>
      <c r="R28" s="112"/>
      <c r="S28" s="112"/>
    </row>
    <row r="29" ht="12.75" customHeight="1">
      <c r="A29" s="280"/>
      <c r="B29" s="289"/>
      <c r="C29" s="289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112"/>
      <c r="O29" s="112"/>
      <c r="P29" s="112"/>
      <c r="Q29" s="112"/>
      <c r="R29" s="112"/>
      <c r="S29" s="112"/>
    </row>
    <row r="30" ht="12.75" customHeight="1">
      <c r="A30" s="280"/>
      <c r="B30" s="289"/>
      <c r="C30" s="289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112"/>
      <c r="O30" s="112"/>
      <c r="P30" s="112"/>
      <c r="Q30" s="112"/>
      <c r="R30" s="112"/>
      <c r="S30" s="112"/>
    </row>
    <row r="31" ht="12.75" customHeight="1">
      <c r="A31" s="280"/>
      <c r="B31" s="289"/>
      <c r="C31" s="289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112"/>
      <c r="O31" s="112"/>
      <c r="P31" s="112"/>
      <c r="Q31" s="112"/>
      <c r="R31" s="112"/>
      <c r="S31" s="112"/>
    </row>
    <row r="32" ht="12.75" customHeight="1">
      <c r="A32" s="112"/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112"/>
      <c r="O32" s="112"/>
      <c r="P32" s="112"/>
      <c r="Q32" s="112"/>
      <c r="R32" s="112"/>
      <c r="S32" s="112"/>
    </row>
    <row r="33" ht="12.75" customHeight="1">
      <c r="A33" s="112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112"/>
      <c r="O33" s="112"/>
      <c r="P33" s="112"/>
      <c r="Q33" s="112"/>
      <c r="R33" s="112"/>
      <c r="S33" s="112"/>
    </row>
    <row r="34" ht="12.75" customHeight="1">
      <c r="A34" s="112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112"/>
      <c r="O34" s="112"/>
      <c r="P34" s="112"/>
      <c r="Q34" s="112"/>
      <c r="R34" s="112"/>
      <c r="S34" s="112"/>
    </row>
    <row r="35" ht="12.75" customHeight="1">
      <c r="A35" s="112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112"/>
      <c r="O35" s="112"/>
      <c r="P35" s="112"/>
      <c r="Q35" s="112"/>
      <c r="R35" s="112"/>
      <c r="S35" s="112"/>
    </row>
    <row r="36" ht="12.75" customHeight="1">
      <c r="A36" s="112"/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112"/>
      <c r="O36" s="112"/>
      <c r="P36" s="112"/>
      <c r="Q36" s="112"/>
      <c r="R36" s="112"/>
      <c r="S36" s="112"/>
    </row>
    <row r="37" ht="12.75" customHeight="1">
      <c r="A37" s="112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112"/>
      <c r="O37" s="112"/>
      <c r="P37" s="112"/>
      <c r="Q37" s="112"/>
      <c r="R37" s="112"/>
      <c r="S37" s="112"/>
    </row>
    <row r="38" ht="12.75" customHeight="1">
      <c r="A38" s="112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112"/>
      <c r="O38" s="112"/>
      <c r="P38" s="112"/>
      <c r="Q38" s="112"/>
      <c r="R38" s="112"/>
      <c r="S38" s="112"/>
    </row>
    <row r="39" ht="12.75" customHeight="1">
      <c r="A39" s="112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112"/>
      <c r="O39" s="112"/>
      <c r="P39" s="112"/>
      <c r="Q39" s="112"/>
      <c r="R39" s="112"/>
      <c r="S39" s="112"/>
    </row>
    <row r="40" ht="12.75" customHeight="1">
      <c r="A40" s="112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112"/>
      <c r="O40" s="112"/>
      <c r="P40" s="112"/>
      <c r="Q40" s="112"/>
      <c r="R40" s="112"/>
      <c r="S40" s="112"/>
    </row>
    <row r="41" ht="12.75" customHeight="1">
      <c r="A41" s="112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112"/>
      <c r="O41" s="112"/>
      <c r="P41" s="112"/>
      <c r="Q41" s="112"/>
      <c r="R41" s="112"/>
      <c r="S41" s="112"/>
    </row>
    <row r="42" ht="12.75" customHeight="1">
      <c r="A42" s="112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112"/>
      <c r="O42" s="112"/>
      <c r="P42" s="112"/>
      <c r="Q42" s="112"/>
      <c r="R42" s="112"/>
      <c r="S42" s="112"/>
    </row>
    <row r="43" ht="12.75" customHeight="1">
      <c r="A43" s="112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112"/>
      <c r="O43" s="112"/>
      <c r="P43" s="112"/>
      <c r="Q43" s="112"/>
      <c r="R43" s="112"/>
      <c r="S43" s="112"/>
    </row>
    <row r="44" ht="12.75" customHeight="1">
      <c r="A44" s="112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112"/>
      <c r="O44" s="112"/>
      <c r="P44" s="112"/>
      <c r="Q44" s="112"/>
      <c r="R44" s="112"/>
      <c r="S44" s="112"/>
    </row>
    <row r="45" ht="12.75" customHeight="1">
      <c r="A45" s="112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112"/>
      <c r="O45" s="112"/>
      <c r="P45" s="112"/>
      <c r="Q45" s="112"/>
      <c r="R45" s="112"/>
      <c r="S45" s="112"/>
    </row>
    <row r="46" ht="12.75" customHeight="1">
      <c r="A46" s="112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112"/>
      <c r="O46" s="112"/>
      <c r="P46" s="112"/>
      <c r="Q46" s="112"/>
      <c r="R46" s="112"/>
      <c r="S46" s="112"/>
    </row>
    <row r="47" ht="12.75" customHeight="1">
      <c r="A47" s="112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112"/>
      <c r="O47" s="112"/>
      <c r="P47" s="112"/>
      <c r="Q47" s="112"/>
      <c r="R47" s="112"/>
      <c r="S47" s="112"/>
    </row>
    <row r="48" ht="12.75" customHeight="1">
      <c r="A48" s="112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12"/>
      <c r="O48" s="112"/>
      <c r="P48" s="112"/>
      <c r="Q48" s="112"/>
      <c r="R48" s="112"/>
      <c r="S48" s="112"/>
    </row>
    <row r="49" ht="12.75" customHeight="1">
      <c r="A49" s="112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112"/>
      <c r="O49" s="112"/>
      <c r="P49" s="112"/>
      <c r="Q49" s="112"/>
      <c r="R49" s="112"/>
      <c r="S49" s="112"/>
    </row>
    <row r="50" ht="12.75" customHeight="1">
      <c r="A50" s="112"/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112"/>
      <c r="O50" s="112"/>
      <c r="P50" s="112"/>
      <c r="Q50" s="112"/>
      <c r="R50" s="112"/>
      <c r="S50" s="112"/>
    </row>
    <row r="51" ht="12.75" customHeight="1">
      <c r="A51" s="112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112"/>
      <c r="O51" s="112"/>
      <c r="P51" s="112"/>
      <c r="Q51" s="112"/>
      <c r="R51" s="112"/>
      <c r="S51" s="112"/>
    </row>
    <row r="52" ht="12.75" customHeight="1">
      <c r="A52" s="188"/>
      <c r="B52" s="270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112"/>
      <c r="O52" s="112"/>
      <c r="P52" s="112"/>
      <c r="Q52" s="112"/>
      <c r="R52" s="112"/>
      <c r="S52" s="112"/>
    </row>
    <row r="53" ht="12.75" customHeight="1">
      <c r="A53" s="188"/>
      <c r="B53" s="270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112"/>
      <c r="O53" s="112"/>
      <c r="P53" s="112"/>
      <c r="Q53" s="112"/>
      <c r="R53" s="112"/>
      <c r="S53" s="112"/>
    </row>
    <row r="54" ht="12.75" customHeight="1">
      <c r="A54" s="188"/>
      <c r="B54" s="270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112"/>
      <c r="O54" s="112"/>
      <c r="P54" s="112"/>
      <c r="Q54" s="112"/>
      <c r="R54" s="112"/>
      <c r="S54" s="112"/>
    </row>
    <row r="55" ht="12.75" customHeight="1">
      <c r="A55" s="188"/>
      <c r="B55" s="270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112"/>
      <c r="O55" s="112"/>
      <c r="P55" s="112"/>
      <c r="Q55" s="112"/>
      <c r="R55" s="112"/>
      <c r="S55" s="112"/>
    </row>
    <row r="56" ht="12.75" customHeight="1">
      <c r="A56" s="188"/>
      <c r="B56" s="270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112"/>
      <c r="O56" s="112"/>
      <c r="P56" s="112"/>
      <c r="Q56" s="112"/>
      <c r="R56" s="112"/>
      <c r="S56" s="112"/>
    </row>
    <row r="57" ht="12.75" customHeight="1">
      <c r="A57" s="188"/>
      <c r="B57" s="270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112"/>
      <c r="O57" s="112"/>
      <c r="P57" s="112"/>
      <c r="Q57" s="112"/>
      <c r="R57" s="112"/>
      <c r="S57" s="112"/>
    </row>
    <row r="58" ht="12.75" customHeight="1">
      <c r="A58" s="188"/>
      <c r="B58" s="270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112"/>
      <c r="O58" s="112"/>
      <c r="P58" s="112"/>
      <c r="Q58" s="112"/>
      <c r="R58" s="112"/>
      <c r="S58" s="112"/>
    </row>
    <row r="59" ht="12.75" customHeight="1">
      <c r="A59" s="188"/>
      <c r="B59" s="270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112"/>
      <c r="O59" s="112"/>
      <c r="P59" s="112"/>
      <c r="Q59" s="112"/>
      <c r="R59" s="112"/>
      <c r="S59" s="112"/>
    </row>
    <row r="60" ht="12.75" customHeight="1">
      <c r="A60" s="188"/>
      <c r="B60" s="270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112"/>
      <c r="O60" s="112"/>
      <c r="P60" s="112"/>
      <c r="Q60" s="112"/>
      <c r="R60" s="112"/>
      <c r="S60" s="112"/>
    </row>
    <row r="61" ht="12.75" customHeight="1">
      <c r="A61" s="188"/>
      <c r="B61" s="270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112"/>
      <c r="O61" s="112"/>
      <c r="P61" s="112"/>
      <c r="Q61" s="112"/>
      <c r="R61" s="112"/>
      <c r="S61" s="112"/>
    </row>
    <row r="62" ht="12.75" customHeight="1">
      <c r="A62" s="188"/>
      <c r="B62" s="270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112"/>
      <c r="O62" s="112"/>
      <c r="P62" s="112"/>
      <c r="Q62" s="112"/>
      <c r="R62" s="112"/>
      <c r="S62" s="112"/>
    </row>
    <row r="63" ht="12.75" customHeight="1">
      <c r="A63" s="188"/>
      <c r="B63" s="270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112"/>
      <c r="O63" s="112"/>
      <c r="P63" s="112"/>
      <c r="Q63" s="112"/>
      <c r="R63" s="112"/>
      <c r="S63" s="112"/>
    </row>
    <row r="64" ht="12.75" customHeight="1">
      <c r="A64" s="188"/>
      <c r="B64" s="270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112"/>
      <c r="O64" s="112"/>
      <c r="P64" s="112"/>
      <c r="Q64" s="112"/>
      <c r="R64" s="112"/>
      <c r="S64" s="112"/>
    </row>
    <row r="65" ht="12.75" customHeight="1">
      <c r="A65" s="188"/>
      <c r="B65" s="270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112"/>
      <c r="O65" s="112"/>
      <c r="P65" s="112"/>
      <c r="Q65" s="112"/>
      <c r="R65" s="112"/>
      <c r="S65" s="112"/>
    </row>
    <row r="66" ht="12.75" customHeight="1">
      <c r="A66" s="188"/>
      <c r="B66" s="270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112"/>
      <c r="O66" s="112"/>
      <c r="P66" s="112"/>
      <c r="Q66" s="112"/>
      <c r="R66" s="112"/>
      <c r="S66" s="112"/>
    </row>
    <row r="67" ht="12.75" customHeight="1">
      <c r="A67" s="188"/>
      <c r="B67" s="270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112"/>
      <c r="O67" s="112"/>
      <c r="P67" s="112"/>
      <c r="Q67" s="112"/>
      <c r="R67" s="112"/>
      <c r="S67" s="112"/>
    </row>
    <row r="68" ht="12.75" customHeight="1">
      <c r="A68" s="188"/>
      <c r="B68" s="270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112"/>
      <c r="O68" s="112"/>
      <c r="P68" s="112"/>
      <c r="Q68" s="112"/>
      <c r="R68" s="112"/>
      <c r="S68" s="112"/>
    </row>
    <row r="69" ht="12.75" customHeight="1">
      <c r="A69" s="188"/>
      <c r="B69" s="270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112"/>
      <c r="O69" s="112"/>
      <c r="P69" s="112"/>
      <c r="Q69" s="112"/>
      <c r="R69" s="112"/>
      <c r="S69" s="112"/>
    </row>
    <row r="70" ht="12.75" customHeight="1">
      <c r="A70" s="188"/>
      <c r="B70" s="270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112"/>
      <c r="O70" s="112"/>
      <c r="P70" s="112"/>
      <c r="Q70" s="112"/>
      <c r="R70" s="112"/>
      <c r="S70" s="112"/>
    </row>
    <row r="71" ht="12.75" customHeight="1">
      <c r="A71" s="188"/>
      <c r="B71" s="270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112"/>
      <c r="O71" s="112"/>
      <c r="P71" s="112"/>
      <c r="Q71" s="112"/>
      <c r="R71" s="112"/>
      <c r="S71" s="112"/>
    </row>
    <row r="72" ht="12.75" customHeight="1">
      <c r="A72" s="188"/>
      <c r="B72" s="270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112"/>
      <c r="O72" s="112"/>
      <c r="P72" s="112"/>
      <c r="Q72" s="112"/>
      <c r="R72" s="112"/>
      <c r="S72" s="112"/>
    </row>
    <row r="73" ht="12.75" customHeight="1">
      <c r="A73" s="112"/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112"/>
      <c r="O73" s="112"/>
      <c r="P73" s="112"/>
      <c r="Q73" s="112"/>
      <c r="R73" s="112"/>
      <c r="S73" s="112"/>
    </row>
    <row r="74" ht="12.75" customHeight="1">
      <c r="A74" s="112"/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112"/>
      <c r="O74" s="112"/>
      <c r="P74" s="112"/>
      <c r="Q74" s="112"/>
      <c r="R74" s="112"/>
      <c r="S74" s="112"/>
    </row>
    <row r="75" ht="12.75" customHeight="1">
      <c r="A75" s="112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112"/>
      <c r="O75" s="112"/>
      <c r="P75" s="112"/>
      <c r="Q75" s="112"/>
      <c r="R75" s="112"/>
      <c r="S75" s="112"/>
    </row>
    <row r="76" ht="12.75" customHeight="1">
      <c r="A76" s="112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112"/>
      <c r="O76" s="112"/>
      <c r="P76" s="112"/>
      <c r="Q76" s="112"/>
      <c r="R76" s="112"/>
      <c r="S76" s="112"/>
    </row>
    <row r="77" ht="12.75" customHeight="1">
      <c r="A77" s="112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112"/>
      <c r="O77" s="112"/>
      <c r="P77" s="112"/>
      <c r="Q77" s="112"/>
      <c r="R77" s="112"/>
      <c r="S77" s="112"/>
    </row>
    <row r="78" ht="12.75" customHeight="1">
      <c r="A78" s="112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112"/>
      <c r="O78" s="112"/>
      <c r="P78" s="112"/>
      <c r="Q78" s="112"/>
      <c r="R78" s="112"/>
      <c r="S78" s="112"/>
    </row>
    <row r="79" ht="12.75" customHeight="1">
      <c r="A79" s="112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112"/>
      <c r="O79" s="112"/>
      <c r="P79" s="112"/>
      <c r="Q79" s="112"/>
      <c r="R79" s="112"/>
      <c r="S79" s="112"/>
    </row>
    <row r="80" ht="12.75" customHeight="1">
      <c r="A80" s="112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112"/>
      <c r="O80" s="112"/>
      <c r="P80" s="112"/>
      <c r="Q80" s="112"/>
      <c r="R80" s="112"/>
      <c r="S80" s="112"/>
    </row>
    <row r="81" ht="12.75" customHeight="1">
      <c r="A81" s="112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112"/>
      <c r="O81" s="112"/>
      <c r="P81" s="112"/>
      <c r="Q81" s="112"/>
      <c r="R81" s="112"/>
      <c r="S81" s="112"/>
    </row>
    <row r="82" ht="12.75" customHeight="1">
      <c r="A82" s="112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112"/>
      <c r="O82" s="112"/>
      <c r="P82" s="112"/>
      <c r="Q82" s="112"/>
      <c r="R82" s="112"/>
      <c r="S82" s="112"/>
    </row>
    <row r="83" ht="12.75" customHeight="1">
      <c r="A83" s="112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112"/>
      <c r="O83" s="112"/>
      <c r="P83" s="112"/>
      <c r="Q83" s="112"/>
      <c r="R83" s="112"/>
      <c r="S83" s="112"/>
    </row>
    <row r="84" ht="12.75" customHeight="1">
      <c r="A84" s="112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112"/>
      <c r="O84" s="112"/>
      <c r="P84" s="112"/>
      <c r="Q84" s="112"/>
      <c r="R84" s="112"/>
      <c r="S84" s="112"/>
    </row>
    <row r="85" ht="12.75" customHeight="1">
      <c r="A85" s="112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112"/>
      <c r="O85" s="112"/>
      <c r="P85" s="112"/>
      <c r="Q85" s="112"/>
      <c r="R85" s="112"/>
      <c r="S85" s="112"/>
    </row>
    <row r="86" ht="12.75" customHeight="1">
      <c r="A86" s="112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112"/>
      <c r="O86" s="112"/>
      <c r="P86" s="112"/>
      <c r="Q86" s="112"/>
      <c r="R86" s="112"/>
      <c r="S86" s="112"/>
    </row>
    <row r="87" ht="12.75" customHeight="1">
      <c r="A87" s="112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112"/>
      <c r="O87" s="112"/>
      <c r="P87" s="112"/>
      <c r="Q87" s="112"/>
      <c r="R87" s="112"/>
      <c r="S87" s="112"/>
    </row>
    <row r="88" ht="12.75" customHeight="1">
      <c r="A88" s="112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112"/>
      <c r="O88" s="112"/>
      <c r="P88" s="112"/>
      <c r="Q88" s="112"/>
      <c r="R88" s="112"/>
      <c r="S88" s="112"/>
    </row>
    <row r="89" ht="12.75" customHeight="1">
      <c r="A89" s="112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112"/>
      <c r="O89" s="112"/>
      <c r="P89" s="112"/>
      <c r="Q89" s="112"/>
      <c r="R89" s="112"/>
      <c r="S89" s="112"/>
    </row>
    <row r="90" ht="12.75" customHeight="1">
      <c r="A90" s="112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112"/>
      <c r="O90" s="112"/>
      <c r="P90" s="112"/>
      <c r="Q90" s="112"/>
      <c r="R90" s="112"/>
      <c r="S90" s="112"/>
    </row>
    <row r="91" ht="12.75" customHeight="1">
      <c r="A91" s="112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112"/>
      <c r="O91" s="112"/>
      <c r="P91" s="112"/>
      <c r="Q91" s="112"/>
      <c r="R91" s="112"/>
      <c r="S91" s="112"/>
    </row>
    <row r="92" ht="12.75" customHeight="1">
      <c r="A92" s="112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112"/>
      <c r="O92" s="112"/>
      <c r="P92" s="112"/>
      <c r="Q92" s="112"/>
      <c r="R92" s="112"/>
      <c r="S92" s="112"/>
    </row>
    <row r="93" ht="12.75" customHeight="1">
      <c r="A93" s="112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112"/>
      <c r="O93" s="112"/>
      <c r="P93" s="112"/>
      <c r="Q93" s="112"/>
      <c r="R93" s="112"/>
      <c r="S93" s="112"/>
    </row>
    <row r="94" ht="12.75" customHeight="1">
      <c r="A94" s="112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112"/>
      <c r="O94" s="112"/>
      <c r="P94" s="112"/>
      <c r="Q94" s="112"/>
      <c r="R94" s="112"/>
      <c r="S94" s="112"/>
    </row>
    <row r="95" ht="12.75" customHeight="1">
      <c r="A95" s="112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112"/>
      <c r="O95" s="112"/>
      <c r="P95" s="112"/>
      <c r="Q95" s="112"/>
      <c r="R95" s="112"/>
      <c r="S95" s="112"/>
    </row>
    <row r="96" ht="12.75" customHeight="1">
      <c r="A96" s="112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112"/>
      <c r="O96" s="112"/>
      <c r="P96" s="112"/>
      <c r="Q96" s="112"/>
      <c r="R96" s="112"/>
      <c r="S96" s="112"/>
    </row>
    <row r="97" ht="12.75" customHeight="1">
      <c r="A97" s="112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112"/>
      <c r="O97" s="112"/>
      <c r="P97" s="112"/>
      <c r="Q97" s="112"/>
      <c r="R97" s="112"/>
      <c r="S97" s="112"/>
    </row>
    <row r="98" ht="12.75" customHeight="1">
      <c r="A98" s="112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112"/>
      <c r="O98" s="112"/>
      <c r="P98" s="112"/>
      <c r="Q98" s="112"/>
      <c r="R98" s="112"/>
      <c r="S98" s="112"/>
    </row>
    <row r="99" ht="12.75" customHeight="1">
      <c r="A99" s="112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112"/>
      <c r="O99" s="112"/>
      <c r="P99" s="112"/>
      <c r="Q99" s="112"/>
      <c r="R99" s="112"/>
      <c r="S99" s="112"/>
    </row>
    <row r="100" ht="12.75" customHeight="1">
      <c r="A100" s="112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112"/>
      <c r="O100" s="112"/>
      <c r="P100" s="112"/>
      <c r="Q100" s="112"/>
      <c r="R100" s="112"/>
      <c r="S100" s="112"/>
    </row>
    <row r="101" ht="12.75" customHeight="1">
      <c r="A101" s="112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112"/>
      <c r="O101" s="112"/>
      <c r="P101" s="112"/>
      <c r="Q101" s="112"/>
      <c r="R101" s="112"/>
      <c r="S101" s="112"/>
    </row>
    <row r="102" ht="12.75" customHeight="1">
      <c r="A102" s="112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112"/>
      <c r="O102" s="112"/>
      <c r="P102" s="112"/>
      <c r="Q102" s="112"/>
      <c r="R102" s="112"/>
      <c r="S102" s="112"/>
    </row>
    <row r="103" ht="12.75" customHeight="1">
      <c r="A103" s="112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112"/>
      <c r="O103" s="112"/>
      <c r="P103" s="112"/>
      <c r="Q103" s="112"/>
      <c r="R103" s="112"/>
      <c r="S103" s="112"/>
    </row>
    <row r="104" ht="12.75" customHeight="1">
      <c r="A104" s="112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112"/>
      <c r="O104" s="112"/>
      <c r="P104" s="112"/>
      <c r="Q104" s="112"/>
      <c r="R104" s="112"/>
      <c r="S104" s="112"/>
    </row>
    <row r="105" ht="12.75" customHeight="1">
      <c r="A105" s="112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112"/>
      <c r="O105" s="112"/>
      <c r="P105" s="112"/>
      <c r="Q105" s="112"/>
      <c r="R105" s="112"/>
      <c r="S105" s="112"/>
    </row>
    <row r="106" ht="12.75" customHeight="1">
      <c r="A106" s="112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112"/>
      <c r="O106" s="112"/>
      <c r="P106" s="112"/>
      <c r="Q106" s="112"/>
      <c r="R106" s="112"/>
      <c r="S106" s="112"/>
    </row>
    <row r="107" ht="12.75" customHeight="1">
      <c r="A107" s="112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112"/>
      <c r="O107" s="112"/>
      <c r="P107" s="112"/>
      <c r="Q107" s="112"/>
      <c r="R107" s="112"/>
      <c r="S107" s="112"/>
    </row>
    <row r="108" ht="12.75" customHeight="1">
      <c r="A108" s="112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112"/>
      <c r="O108" s="112"/>
      <c r="P108" s="112"/>
      <c r="Q108" s="112"/>
      <c r="R108" s="112"/>
      <c r="S108" s="112"/>
    </row>
    <row r="109" ht="12.75" customHeight="1">
      <c r="A109" s="112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112"/>
      <c r="O109" s="112"/>
      <c r="P109" s="112"/>
      <c r="Q109" s="112"/>
      <c r="R109" s="112"/>
      <c r="S109" s="112"/>
    </row>
    <row r="110" ht="12.75" customHeight="1">
      <c r="A110" s="112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112"/>
      <c r="O110" s="112"/>
      <c r="P110" s="112"/>
      <c r="Q110" s="112"/>
      <c r="R110" s="112"/>
      <c r="S110" s="112"/>
    </row>
    <row r="111" ht="12.75" customHeight="1">
      <c r="A111" s="112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112"/>
      <c r="O111" s="112"/>
      <c r="P111" s="112"/>
      <c r="Q111" s="112"/>
      <c r="R111" s="112"/>
      <c r="S111" s="112"/>
    </row>
    <row r="112" ht="12.75" customHeight="1">
      <c r="A112" s="112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112"/>
      <c r="O112" s="112"/>
      <c r="P112" s="112"/>
      <c r="Q112" s="112"/>
      <c r="R112" s="112"/>
      <c r="S112" s="112"/>
    </row>
    <row r="113" ht="12.75" customHeight="1">
      <c r="A113" s="112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112"/>
      <c r="O113" s="112"/>
      <c r="P113" s="112"/>
      <c r="Q113" s="112"/>
      <c r="R113" s="112"/>
      <c r="S113" s="112"/>
    </row>
    <row r="114" ht="12.75" customHeight="1">
      <c r="A114" s="112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112"/>
      <c r="O114" s="112"/>
      <c r="P114" s="112"/>
      <c r="Q114" s="112"/>
      <c r="R114" s="112"/>
      <c r="S114" s="112"/>
    </row>
    <row r="115" ht="12.75" customHeight="1">
      <c r="A115" s="112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112"/>
      <c r="O115" s="112"/>
      <c r="P115" s="112"/>
      <c r="Q115" s="112"/>
      <c r="R115" s="112"/>
      <c r="S115" s="112"/>
    </row>
    <row r="116" ht="12.75" customHeight="1">
      <c r="A116" s="112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112"/>
      <c r="O116" s="112"/>
      <c r="P116" s="112"/>
      <c r="Q116" s="112"/>
      <c r="R116" s="112"/>
      <c r="S116" s="112"/>
    </row>
    <row r="117" ht="12.75" customHeight="1">
      <c r="A117" s="112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112"/>
      <c r="O117" s="112"/>
      <c r="P117" s="112"/>
      <c r="Q117" s="112"/>
      <c r="R117" s="112"/>
      <c r="S117" s="112"/>
    </row>
    <row r="118" ht="12.75" customHeight="1">
      <c r="A118" s="112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112"/>
      <c r="O118" s="112"/>
      <c r="P118" s="112"/>
      <c r="Q118" s="112"/>
      <c r="R118" s="112"/>
      <c r="S118" s="112"/>
    </row>
    <row r="119" ht="12.75" customHeight="1">
      <c r="A119" s="112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112"/>
      <c r="O119" s="112"/>
      <c r="P119" s="112"/>
      <c r="Q119" s="112"/>
      <c r="R119" s="112"/>
      <c r="S119" s="112"/>
    </row>
    <row r="120" ht="12.75" customHeight="1">
      <c r="A120" s="112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112"/>
      <c r="O120" s="112"/>
      <c r="P120" s="112"/>
      <c r="Q120" s="112"/>
      <c r="R120" s="112"/>
      <c r="S120" s="112"/>
    </row>
    <row r="121" ht="12.75" customHeight="1">
      <c r="A121" s="112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112"/>
      <c r="O121" s="112"/>
      <c r="P121" s="112"/>
      <c r="Q121" s="112"/>
      <c r="R121" s="112"/>
      <c r="S121" s="112"/>
    </row>
    <row r="122" ht="12.75" customHeight="1">
      <c r="A122" s="112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112"/>
      <c r="O122" s="112"/>
      <c r="P122" s="112"/>
      <c r="Q122" s="112"/>
      <c r="R122" s="112"/>
      <c r="S122" s="112"/>
    </row>
    <row r="123" ht="12.75" customHeight="1">
      <c r="A123" s="112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112"/>
      <c r="O123" s="112"/>
      <c r="P123" s="112"/>
      <c r="Q123" s="112"/>
      <c r="R123" s="112"/>
      <c r="S123" s="112"/>
    </row>
    <row r="124" ht="12.75" customHeight="1">
      <c r="A124" s="112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112"/>
      <c r="O124" s="112"/>
      <c r="P124" s="112"/>
      <c r="Q124" s="112"/>
      <c r="R124" s="112"/>
      <c r="S124" s="112"/>
    </row>
    <row r="125" ht="12.75" customHeight="1">
      <c r="A125" s="112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112"/>
      <c r="O125" s="112"/>
      <c r="P125" s="112"/>
      <c r="Q125" s="112"/>
      <c r="R125" s="112"/>
      <c r="S125" s="112"/>
    </row>
    <row r="126" ht="12.75" customHeight="1">
      <c r="A126" s="112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112"/>
      <c r="O126" s="112"/>
      <c r="P126" s="112"/>
      <c r="Q126" s="112"/>
      <c r="R126" s="112"/>
      <c r="S126" s="112"/>
    </row>
    <row r="127" ht="12.75" customHeight="1">
      <c r="A127" s="112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112"/>
      <c r="O127" s="112"/>
      <c r="P127" s="112"/>
      <c r="Q127" s="112"/>
      <c r="R127" s="112"/>
      <c r="S127" s="112"/>
    </row>
    <row r="128" ht="12.75" customHeight="1">
      <c r="A128" s="112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112"/>
      <c r="O128" s="112"/>
      <c r="P128" s="112"/>
      <c r="Q128" s="112"/>
      <c r="R128" s="112"/>
      <c r="S128" s="112"/>
    </row>
    <row r="129" ht="12.75" customHeight="1">
      <c r="A129" s="112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112"/>
      <c r="O129" s="112"/>
      <c r="P129" s="112"/>
      <c r="Q129" s="112"/>
      <c r="R129" s="112"/>
      <c r="S129" s="112"/>
    </row>
    <row r="130" ht="12.75" customHeight="1">
      <c r="A130" s="112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112"/>
      <c r="O130" s="112"/>
      <c r="P130" s="112"/>
      <c r="Q130" s="112"/>
      <c r="R130" s="112"/>
      <c r="S130" s="112"/>
    </row>
    <row r="131" ht="12.75" customHeight="1">
      <c r="A131" s="112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112"/>
      <c r="O131" s="112"/>
      <c r="P131" s="112"/>
      <c r="Q131" s="112"/>
      <c r="R131" s="112"/>
      <c r="S131" s="112"/>
    </row>
    <row r="132" ht="12.75" customHeight="1">
      <c r="A132" s="112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112"/>
      <c r="O132" s="112"/>
      <c r="P132" s="112"/>
      <c r="Q132" s="112"/>
      <c r="R132" s="112"/>
      <c r="S132" s="112"/>
    </row>
    <row r="133" ht="12.75" customHeight="1">
      <c r="A133" s="112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112"/>
      <c r="O133" s="112"/>
      <c r="P133" s="112"/>
      <c r="Q133" s="112"/>
      <c r="R133" s="112"/>
      <c r="S133" s="112"/>
    </row>
    <row r="134" ht="12.75" customHeight="1">
      <c r="A134" s="112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112"/>
      <c r="O134" s="112"/>
      <c r="P134" s="112"/>
      <c r="Q134" s="112"/>
      <c r="R134" s="112"/>
      <c r="S134" s="112"/>
    </row>
    <row r="135" ht="12.75" customHeight="1">
      <c r="A135" s="112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112"/>
      <c r="O135" s="112"/>
      <c r="P135" s="112"/>
      <c r="Q135" s="112"/>
      <c r="R135" s="112"/>
      <c r="S135" s="112"/>
    </row>
    <row r="136" ht="12.75" customHeight="1">
      <c r="A136" s="112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112"/>
      <c r="O136" s="112"/>
      <c r="P136" s="112"/>
      <c r="Q136" s="112"/>
      <c r="R136" s="112"/>
      <c r="S136" s="112"/>
    </row>
    <row r="137" ht="12.75" customHeight="1">
      <c r="A137" s="112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112"/>
      <c r="O137" s="112"/>
      <c r="P137" s="112"/>
      <c r="Q137" s="112"/>
      <c r="R137" s="112"/>
      <c r="S137" s="112"/>
    </row>
    <row r="138" ht="12.75" customHeight="1">
      <c r="A138" s="112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112"/>
      <c r="O138" s="112"/>
      <c r="P138" s="112"/>
      <c r="Q138" s="112"/>
      <c r="R138" s="112"/>
      <c r="S138" s="112"/>
    </row>
    <row r="139" ht="12.75" customHeight="1">
      <c r="A139" s="112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112"/>
      <c r="O139" s="112"/>
      <c r="P139" s="112"/>
      <c r="Q139" s="112"/>
      <c r="R139" s="112"/>
      <c r="S139" s="112"/>
    </row>
    <row r="140" ht="12.75" customHeight="1">
      <c r="A140" s="112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112"/>
      <c r="O140" s="112"/>
      <c r="P140" s="112"/>
      <c r="Q140" s="112"/>
      <c r="R140" s="112"/>
      <c r="S140" s="112"/>
    </row>
    <row r="141" ht="12.75" customHeight="1">
      <c r="A141" s="112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112"/>
      <c r="O141" s="112"/>
      <c r="P141" s="112"/>
      <c r="Q141" s="112"/>
      <c r="R141" s="112"/>
      <c r="S141" s="112"/>
    </row>
    <row r="142" ht="12.75" customHeight="1">
      <c r="A142" s="112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112"/>
      <c r="O142" s="112"/>
      <c r="P142" s="112"/>
      <c r="Q142" s="112"/>
      <c r="R142" s="112"/>
      <c r="S142" s="112"/>
    </row>
    <row r="143" ht="12.75" customHeight="1">
      <c r="A143" s="112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112"/>
      <c r="O143" s="112"/>
      <c r="P143" s="112"/>
      <c r="Q143" s="112"/>
      <c r="R143" s="112"/>
      <c r="S143" s="112"/>
    </row>
    <row r="144" ht="12.75" customHeight="1">
      <c r="A144" s="112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112"/>
      <c r="O144" s="112"/>
      <c r="P144" s="112"/>
      <c r="Q144" s="112"/>
      <c r="R144" s="112"/>
      <c r="S144" s="112"/>
    </row>
    <row r="145" ht="12.75" customHeight="1">
      <c r="A145" s="112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112"/>
      <c r="O145" s="112"/>
      <c r="P145" s="112"/>
      <c r="Q145" s="112"/>
      <c r="R145" s="112"/>
      <c r="S145" s="112"/>
    </row>
    <row r="146" ht="12.75" customHeight="1">
      <c r="A146" s="112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112"/>
      <c r="O146" s="112"/>
      <c r="P146" s="112"/>
      <c r="Q146" s="112"/>
      <c r="R146" s="112"/>
      <c r="S146" s="112"/>
    </row>
    <row r="147" ht="12.75" customHeight="1">
      <c r="A147" s="112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112"/>
      <c r="O147" s="112"/>
      <c r="P147" s="112"/>
      <c r="Q147" s="112"/>
      <c r="R147" s="112"/>
      <c r="S147" s="112"/>
    </row>
    <row r="148" ht="12.75" customHeight="1">
      <c r="A148" s="112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112"/>
      <c r="O148" s="112"/>
      <c r="P148" s="112"/>
      <c r="Q148" s="112"/>
      <c r="R148" s="112"/>
      <c r="S148" s="112"/>
    </row>
    <row r="149" ht="12.75" customHeight="1">
      <c r="A149" s="112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112"/>
      <c r="O149" s="112"/>
      <c r="P149" s="112"/>
      <c r="Q149" s="112"/>
      <c r="R149" s="112"/>
      <c r="S149" s="112"/>
    </row>
    <row r="150" ht="12.75" customHeight="1">
      <c r="A150" s="112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112"/>
      <c r="O150" s="112"/>
      <c r="P150" s="112"/>
      <c r="Q150" s="112"/>
      <c r="R150" s="112"/>
      <c r="S150" s="112"/>
    </row>
    <row r="151" ht="12.75" customHeight="1">
      <c r="A151" s="112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112"/>
      <c r="O151" s="112"/>
      <c r="P151" s="112"/>
      <c r="Q151" s="112"/>
      <c r="R151" s="112"/>
      <c r="S151" s="112"/>
    </row>
    <row r="152" ht="12.75" customHeight="1">
      <c r="A152" s="112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112"/>
      <c r="O152" s="112"/>
      <c r="P152" s="112"/>
      <c r="Q152" s="112"/>
      <c r="R152" s="112"/>
      <c r="S152" s="112"/>
    </row>
    <row r="153" ht="12.75" customHeight="1">
      <c r="A153" s="112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112"/>
      <c r="O153" s="112"/>
      <c r="P153" s="112"/>
      <c r="Q153" s="112"/>
      <c r="R153" s="112"/>
      <c r="S153" s="112"/>
    </row>
    <row r="154" ht="12.75" customHeight="1">
      <c r="A154" s="112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112"/>
      <c r="O154" s="112"/>
      <c r="P154" s="112"/>
      <c r="Q154" s="112"/>
      <c r="R154" s="112"/>
      <c r="S154" s="112"/>
    </row>
    <row r="155" ht="12.75" customHeight="1">
      <c r="A155" s="112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112"/>
      <c r="O155" s="112"/>
      <c r="P155" s="112"/>
      <c r="Q155" s="112"/>
      <c r="R155" s="112"/>
      <c r="S155" s="112"/>
    </row>
    <row r="156" ht="12.75" customHeight="1">
      <c r="A156" s="112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112"/>
      <c r="O156" s="112"/>
      <c r="P156" s="112"/>
      <c r="Q156" s="112"/>
      <c r="R156" s="112"/>
      <c r="S156" s="112"/>
    </row>
    <row r="157" ht="12.75" customHeight="1">
      <c r="A157" s="112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112"/>
      <c r="O157" s="112"/>
      <c r="P157" s="112"/>
      <c r="Q157" s="112"/>
      <c r="R157" s="112"/>
      <c r="S157" s="112"/>
    </row>
    <row r="158" ht="12.75" customHeight="1">
      <c r="A158" s="112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112"/>
      <c r="O158" s="112"/>
      <c r="P158" s="112"/>
      <c r="Q158" s="112"/>
      <c r="R158" s="112"/>
      <c r="S158" s="112"/>
    </row>
    <row r="159" ht="12.75" customHeight="1">
      <c r="A159" s="112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112"/>
      <c r="O159" s="112"/>
      <c r="P159" s="112"/>
      <c r="Q159" s="112"/>
      <c r="R159" s="112"/>
      <c r="S159" s="112"/>
    </row>
    <row r="160" ht="12.75" customHeight="1">
      <c r="A160" s="112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112"/>
      <c r="O160" s="112"/>
      <c r="P160" s="112"/>
      <c r="Q160" s="112"/>
      <c r="R160" s="112"/>
      <c r="S160" s="112"/>
    </row>
    <row r="161" ht="12.75" customHeight="1">
      <c r="A161" s="112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112"/>
      <c r="O161" s="112"/>
      <c r="P161" s="112"/>
      <c r="Q161" s="112"/>
      <c r="R161" s="112"/>
      <c r="S161" s="112"/>
    </row>
    <row r="162" ht="12.75" customHeight="1">
      <c r="A162" s="112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112"/>
      <c r="O162" s="112"/>
      <c r="P162" s="112"/>
      <c r="Q162" s="112"/>
      <c r="R162" s="112"/>
      <c r="S162" s="112"/>
    </row>
    <row r="163" ht="12.75" customHeight="1">
      <c r="A163" s="112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112"/>
      <c r="O163" s="112"/>
      <c r="P163" s="112"/>
      <c r="Q163" s="112"/>
      <c r="R163" s="112"/>
      <c r="S163" s="112"/>
    </row>
    <row r="164" ht="12.75" customHeight="1">
      <c r="A164" s="112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112"/>
      <c r="O164" s="112"/>
      <c r="P164" s="112"/>
      <c r="Q164" s="112"/>
      <c r="R164" s="112"/>
      <c r="S164" s="112"/>
    </row>
    <row r="165" ht="12.75" customHeight="1">
      <c r="A165" s="112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112"/>
      <c r="O165" s="112"/>
      <c r="P165" s="112"/>
      <c r="Q165" s="112"/>
      <c r="R165" s="112"/>
      <c r="S165" s="112"/>
    </row>
    <row r="166" ht="12.75" customHeight="1">
      <c r="A166" s="112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112"/>
      <c r="O166" s="112"/>
      <c r="P166" s="112"/>
      <c r="Q166" s="112"/>
      <c r="R166" s="112"/>
      <c r="S166" s="112"/>
    </row>
    <row r="167" ht="12.75" customHeight="1">
      <c r="A167" s="112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112"/>
      <c r="O167" s="112"/>
      <c r="P167" s="112"/>
      <c r="Q167" s="112"/>
      <c r="R167" s="112"/>
      <c r="S167" s="112"/>
    </row>
    <row r="168" ht="12.75" customHeight="1">
      <c r="A168" s="112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112"/>
      <c r="O168" s="112"/>
      <c r="P168" s="112"/>
      <c r="Q168" s="112"/>
      <c r="R168" s="112"/>
      <c r="S168" s="112"/>
    </row>
    <row r="169" ht="12.75" customHeight="1">
      <c r="A169" s="112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112"/>
      <c r="O169" s="112"/>
      <c r="P169" s="112"/>
      <c r="Q169" s="112"/>
      <c r="R169" s="112"/>
      <c r="S169" s="112"/>
    </row>
    <row r="170" ht="12.75" customHeight="1">
      <c r="A170" s="112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112"/>
      <c r="O170" s="112"/>
      <c r="P170" s="112"/>
      <c r="Q170" s="112"/>
      <c r="R170" s="112"/>
      <c r="S170" s="112"/>
    </row>
    <row r="171" ht="12.75" customHeight="1">
      <c r="A171" s="112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112"/>
      <c r="O171" s="112"/>
      <c r="P171" s="112"/>
      <c r="Q171" s="112"/>
      <c r="R171" s="112"/>
      <c r="S171" s="112"/>
    </row>
    <row r="172" ht="12.75" customHeight="1">
      <c r="A172" s="112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112"/>
      <c r="O172" s="112"/>
      <c r="P172" s="112"/>
      <c r="Q172" s="112"/>
      <c r="R172" s="112"/>
      <c r="S172" s="112"/>
    </row>
    <row r="173" ht="12.75" customHeight="1">
      <c r="A173" s="112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112"/>
      <c r="O173" s="112"/>
      <c r="P173" s="112"/>
      <c r="Q173" s="112"/>
      <c r="R173" s="112"/>
      <c r="S173" s="112"/>
    </row>
    <row r="174" ht="12.75" customHeight="1">
      <c r="A174" s="112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112"/>
      <c r="O174" s="112"/>
      <c r="P174" s="112"/>
      <c r="Q174" s="112"/>
      <c r="R174" s="112"/>
      <c r="S174" s="112"/>
    </row>
    <row r="175" ht="12.75" customHeight="1">
      <c r="A175" s="112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112"/>
      <c r="O175" s="112"/>
      <c r="P175" s="112"/>
      <c r="Q175" s="112"/>
      <c r="R175" s="112"/>
      <c r="S175" s="112"/>
    </row>
    <row r="176" ht="12.75" customHeight="1">
      <c r="A176" s="112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112"/>
      <c r="O176" s="112"/>
      <c r="P176" s="112"/>
      <c r="Q176" s="112"/>
      <c r="R176" s="112"/>
      <c r="S176" s="112"/>
    </row>
    <row r="177" ht="12.75" customHeight="1">
      <c r="A177" s="112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112"/>
      <c r="O177" s="112"/>
      <c r="P177" s="112"/>
      <c r="Q177" s="112"/>
      <c r="R177" s="112"/>
      <c r="S177" s="112"/>
    </row>
    <row r="178" ht="12.75" customHeight="1">
      <c r="A178" s="112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112"/>
      <c r="O178" s="112"/>
      <c r="P178" s="112"/>
      <c r="Q178" s="112"/>
      <c r="R178" s="112"/>
      <c r="S178" s="112"/>
    </row>
    <row r="179" ht="12.75" customHeight="1">
      <c r="A179" s="112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112"/>
      <c r="O179" s="112"/>
      <c r="P179" s="112"/>
      <c r="Q179" s="112"/>
      <c r="R179" s="112"/>
      <c r="S179" s="112"/>
    </row>
    <row r="180" ht="12.75" customHeight="1">
      <c r="A180" s="112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112"/>
      <c r="O180" s="112"/>
      <c r="P180" s="112"/>
      <c r="Q180" s="112"/>
      <c r="R180" s="112"/>
      <c r="S180" s="112"/>
    </row>
    <row r="181" ht="12.75" customHeight="1">
      <c r="A181" s="112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112"/>
      <c r="O181" s="112"/>
      <c r="P181" s="112"/>
      <c r="Q181" s="112"/>
      <c r="R181" s="112"/>
      <c r="S181" s="112"/>
    </row>
    <row r="182" ht="12.75" customHeight="1">
      <c r="A182" s="112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112"/>
      <c r="O182" s="112"/>
      <c r="P182" s="112"/>
      <c r="Q182" s="112"/>
      <c r="R182" s="112"/>
      <c r="S182" s="112"/>
    </row>
    <row r="183" ht="12.75" customHeight="1">
      <c r="A183" s="112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112"/>
      <c r="O183" s="112"/>
      <c r="P183" s="112"/>
      <c r="Q183" s="112"/>
      <c r="R183" s="112"/>
      <c r="S183" s="112"/>
    </row>
    <row r="184" ht="12.75" customHeight="1">
      <c r="A184" s="112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112"/>
      <c r="O184" s="112"/>
      <c r="P184" s="112"/>
      <c r="Q184" s="112"/>
      <c r="R184" s="112"/>
      <c r="S184" s="112"/>
    </row>
    <row r="185" ht="12.75" customHeight="1">
      <c r="A185" s="112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112"/>
      <c r="O185" s="112"/>
      <c r="P185" s="112"/>
      <c r="Q185" s="112"/>
      <c r="R185" s="112"/>
      <c r="S185" s="112"/>
    </row>
    <row r="186" ht="12.75" customHeight="1">
      <c r="A186" s="112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112"/>
      <c r="O186" s="112"/>
      <c r="P186" s="112"/>
      <c r="Q186" s="112"/>
      <c r="R186" s="112"/>
      <c r="S186" s="112"/>
    </row>
    <row r="187" ht="12.75" customHeight="1">
      <c r="A187" s="112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112"/>
      <c r="O187" s="112"/>
      <c r="P187" s="112"/>
      <c r="Q187" s="112"/>
      <c r="R187" s="112"/>
      <c r="S187" s="112"/>
    </row>
    <row r="188" ht="12.75" customHeight="1">
      <c r="A188" s="112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112"/>
      <c r="O188" s="112"/>
      <c r="P188" s="112"/>
      <c r="Q188" s="112"/>
      <c r="R188" s="112"/>
      <c r="S188" s="112"/>
    </row>
    <row r="189" ht="12.75" customHeight="1">
      <c r="A189" s="112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112"/>
      <c r="O189" s="112"/>
      <c r="P189" s="112"/>
      <c r="Q189" s="112"/>
      <c r="R189" s="112"/>
      <c r="S189" s="112"/>
    </row>
    <row r="190" ht="12.75" customHeight="1">
      <c r="A190" s="112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112"/>
      <c r="O190" s="112"/>
      <c r="P190" s="112"/>
      <c r="Q190" s="112"/>
      <c r="R190" s="112"/>
      <c r="S190" s="112"/>
    </row>
    <row r="191" ht="12.75" customHeight="1">
      <c r="A191" s="112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112"/>
      <c r="O191" s="112"/>
      <c r="P191" s="112"/>
      <c r="Q191" s="112"/>
      <c r="R191" s="112"/>
      <c r="S191" s="112"/>
    </row>
    <row r="192" ht="12.75" customHeight="1">
      <c r="A192" s="112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112"/>
      <c r="O192" s="112"/>
      <c r="P192" s="112"/>
      <c r="Q192" s="112"/>
      <c r="R192" s="112"/>
      <c r="S192" s="112"/>
    </row>
    <row r="193" ht="12.75" customHeight="1">
      <c r="A193" s="112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112"/>
      <c r="O193" s="112"/>
      <c r="P193" s="112"/>
      <c r="Q193" s="112"/>
      <c r="R193" s="112"/>
      <c r="S193" s="112"/>
    </row>
    <row r="194" ht="12.75" customHeight="1">
      <c r="A194" s="112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112"/>
      <c r="O194" s="112"/>
      <c r="P194" s="112"/>
      <c r="Q194" s="112"/>
      <c r="R194" s="112"/>
      <c r="S194" s="112"/>
    </row>
    <row r="195" ht="12.75" customHeight="1">
      <c r="A195" s="112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112"/>
      <c r="O195" s="112"/>
      <c r="P195" s="112"/>
      <c r="Q195" s="112"/>
      <c r="R195" s="112"/>
      <c r="S195" s="112"/>
    </row>
    <row r="196" ht="12.75" customHeight="1">
      <c r="A196" s="112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112"/>
      <c r="O196" s="112"/>
      <c r="P196" s="112"/>
      <c r="Q196" s="112"/>
      <c r="R196" s="112"/>
      <c r="S196" s="112"/>
    </row>
    <row r="197" ht="12.75" customHeight="1">
      <c r="A197" s="112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112"/>
      <c r="O197" s="112"/>
      <c r="P197" s="112"/>
      <c r="Q197" s="112"/>
      <c r="R197" s="112"/>
      <c r="S197" s="112"/>
    </row>
    <row r="198" ht="12.75" customHeight="1">
      <c r="A198" s="112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112"/>
      <c r="O198" s="112"/>
      <c r="P198" s="112"/>
      <c r="Q198" s="112"/>
      <c r="R198" s="112"/>
      <c r="S198" s="112"/>
    </row>
    <row r="199" ht="12.75" customHeight="1">
      <c r="A199" s="112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112"/>
      <c r="O199" s="112"/>
      <c r="P199" s="112"/>
      <c r="Q199" s="112"/>
      <c r="R199" s="112"/>
      <c r="S199" s="112"/>
    </row>
    <row r="200" ht="12.75" customHeight="1">
      <c r="A200" s="112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112"/>
      <c r="O200" s="112"/>
      <c r="P200" s="112"/>
      <c r="Q200" s="112"/>
      <c r="R200" s="112"/>
      <c r="S200" s="112"/>
    </row>
    <row r="201" ht="12.75" customHeight="1">
      <c r="A201" s="112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112"/>
      <c r="O201" s="112"/>
      <c r="P201" s="112"/>
      <c r="Q201" s="112"/>
      <c r="R201" s="112"/>
      <c r="S201" s="112"/>
    </row>
    <row r="202" ht="12.75" customHeight="1">
      <c r="A202" s="112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112"/>
      <c r="O202" s="112"/>
      <c r="P202" s="112"/>
      <c r="Q202" s="112"/>
      <c r="R202" s="112"/>
      <c r="S202" s="112"/>
    </row>
    <row r="203" ht="12.75" customHeight="1">
      <c r="A203" s="112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112"/>
      <c r="O203" s="112"/>
      <c r="P203" s="112"/>
      <c r="Q203" s="112"/>
      <c r="R203" s="112"/>
      <c r="S203" s="112"/>
    </row>
    <row r="204" ht="12.75" customHeight="1">
      <c r="A204" s="112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112"/>
      <c r="O204" s="112"/>
      <c r="P204" s="112"/>
      <c r="Q204" s="112"/>
      <c r="R204" s="112"/>
      <c r="S204" s="112"/>
    </row>
    <row r="205" ht="12.75" customHeight="1">
      <c r="A205" s="112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112"/>
      <c r="O205" s="112"/>
      <c r="P205" s="112"/>
      <c r="Q205" s="112"/>
      <c r="R205" s="112"/>
      <c r="S205" s="112"/>
    </row>
    <row r="206" ht="12.75" customHeight="1">
      <c r="A206" s="112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112"/>
      <c r="O206" s="112"/>
      <c r="P206" s="112"/>
      <c r="Q206" s="112"/>
      <c r="R206" s="112"/>
      <c r="S206" s="112"/>
    </row>
    <row r="207" ht="12.75" customHeight="1">
      <c r="A207" s="112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112"/>
      <c r="O207" s="112"/>
      <c r="P207" s="112"/>
      <c r="Q207" s="112"/>
      <c r="R207" s="112"/>
      <c r="S207" s="112"/>
    </row>
    <row r="208" ht="12.75" customHeight="1">
      <c r="A208" s="112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112"/>
      <c r="O208" s="112"/>
      <c r="P208" s="112"/>
      <c r="Q208" s="112"/>
      <c r="R208" s="112"/>
      <c r="S208" s="112"/>
    </row>
    <row r="209" ht="12.75" customHeight="1">
      <c r="A209" s="112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112"/>
      <c r="O209" s="112"/>
      <c r="P209" s="112"/>
      <c r="Q209" s="112"/>
      <c r="R209" s="112"/>
      <c r="S209" s="112"/>
    </row>
    <row r="210" ht="12.75" customHeight="1">
      <c r="A210" s="112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112"/>
      <c r="O210" s="112"/>
      <c r="P210" s="112"/>
      <c r="Q210" s="112"/>
      <c r="R210" s="112"/>
      <c r="S210" s="112"/>
    </row>
    <row r="211" ht="12.75" customHeight="1">
      <c r="A211" s="112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112"/>
      <c r="O211" s="112"/>
      <c r="P211" s="112"/>
      <c r="Q211" s="112"/>
      <c r="R211" s="112"/>
      <c r="S211" s="112"/>
    </row>
    <row r="212" ht="12.75" customHeight="1">
      <c r="A212" s="112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112"/>
      <c r="O212" s="112"/>
      <c r="P212" s="112"/>
      <c r="Q212" s="112"/>
      <c r="R212" s="112"/>
      <c r="S212" s="112"/>
    </row>
    <row r="213" ht="12.75" customHeight="1">
      <c r="A213" s="112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112"/>
      <c r="O213" s="112"/>
      <c r="P213" s="112"/>
      <c r="Q213" s="112"/>
      <c r="R213" s="112"/>
      <c r="S213" s="112"/>
    </row>
    <row r="214" ht="12.75" customHeight="1">
      <c r="A214" s="112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112"/>
      <c r="O214" s="112"/>
      <c r="P214" s="112"/>
      <c r="Q214" s="112"/>
      <c r="R214" s="112"/>
      <c r="S214" s="112"/>
    </row>
    <row r="215" ht="12.75" customHeight="1">
      <c r="A215" s="112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112"/>
      <c r="O215" s="112"/>
      <c r="P215" s="112"/>
      <c r="Q215" s="112"/>
      <c r="R215" s="112"/>
      <c r="S215" s="112"/>
    </row>
    <row r="216" ht="12.75" customHeight="1">
      <c r="A216" s="112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112"/>
      <c r="O216" s="112"/>
      <c r="P216" s="112"/>
      <c r="Q216" s="112"/>
      <c r="R216" s="112"/>
      <c r="S216" s="112"/>
    </row>
    <row r="217" ht="12.75" customHeight="1">
      <c r="A217" s="112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112"/>
      <c r="O217" s="112"/>
      <c r="P217" s="112"/>
      <c r="Q217" s="112"/>
      <c r="R217" s="112"/>
      <c r="S217" s="112"/>
    </row>
    <row r="218" ht="12.75" customHeight="1">
      <c r="A218" s="112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112"/>
      <c r="O218" s="112"/>
      <c r="P218" s="112"/>
      <c r="Q218" s="112"/>
      <c r="R218" s="112"/>
      <c r="S218" s="112"/>
    </row>
    <row r="219" ht="12.75" customHeight="1">
      <c r="A219" s="112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112"/>
      <c r="O219" s="112"/>
      <c r="P219" s="112"/>
      <c r="Q219" s="112"/>
      <c r="R219" s="112"/>
      <c r="S219" s="112"/>
    </row>
    <row r="220" ht="12.75" customHeight="1">
      <c r="A220" s="112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112"/>
      <c r="O220" s="112"/>
      <c r="P220" s="112"/>
      <c r="Q220" s="112"/>
      <c r="R220" s="112"/>
      <c r="S220" s="112"/>
    </row>
    <row r="221" ht="12.75" customHeight="1">
      <c r="A221" s="112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112"/>
      <c r="O221" s="112"/>
      <c r="P221" s="112"/>
      <c r="Q221" s="112"/>
      <c r="R221" s="112"/>
      <c r="S221" s="112"/>
    </row>
    <row r="222" ht="12.75" customHeight="1">
      <c r="A222" s="112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112"/>
      <c r="O222" s="112"/>
      <c r="P222" s="112"/>
      <c r="Q222" s="112"/>
      <c r="R222" s="112"/>
      <c r="S222" s="112"/>
    </row>
    <row r="223" ht="12.75" customHeight="1"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</row>
    <row r="224" ht="12.75" customHeight="1"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</row>
    <row r="225" ht="12.75" customHeight="1"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</row>
    <row r="226" ht="12.75" customHeight="1"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</row>
    <row r="227" ht="12.75" customHeight="1"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</row>
    <row r="228" ht="12.75" customHeight="1"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</row>
    <row r="229" ht="12.75" customHeight="1"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</row>
    <row r="230" ht="12.75" customHeight="1"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</row>
    <row r="231" ht="12.75" customHeight="1"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</row>
    <row r="232" ht="12.75" customHeight="1"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</row>
    <row r="233" ht="12.75" customHeight="1"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</row>
    <row r="234" ht="12.75" customHeight="1"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</row>
    <row r="235" ht="12.75" customHeight="1"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</row>
    <row r="236" ht="12.75" customHeight="1"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</row>
    <row r="237" ht="12.75" customHeight="1"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</row>
    <row r="238" ht="12.75" customHeight="1"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</row>
    <row r="239" ht="12.75" customHeight="1"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</row>
    <row r="240" ht="12.75" customHeight="1"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</row>
    <row r="241" ht="12.75" customHeight="1"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</row>
    <row r="242" ht="12.75" customHeight="1"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</row>
    <row r="243" ht="12.75" customHeight="1"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</row>
    <row r="244" ht="12.75" customHeight="1"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</row>
    <row r="245" ht="12.75" customHeight="1"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</row>
    <row r="246" ht="12.75" customHeight="1"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</row>
    <row r="247" ht="12.75" customHeight="1"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</row>
    <row r="248" ht="12.75" customHeight="1"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</row>
    <row r="249" ht="12.75" customHeight="1"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</row>
    <row r="250" ht="12.75" customHeight="1"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</row>
    <row r="251" ht="12.75" customHeight="1"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</row>
    <row r="252" ht="12.75" customHeight="1"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</row>
    <row r="253" ht="12.75" customHeight="1"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</row>
    <row r="254" ht="12.75" customHeight="1"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</row>
    <row r="255" ht="12.75" customHeight="1"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</row>
    <row r="256" ht="12.75" customHeight="1"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</row>
    <row r="257" ht="12.75" customHeight="1"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</row>
    <row r="258" ht="12.75" customHeight="1"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</row>
    <row r="259" ht="12.75" customHeight="1"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</row>
    <row r="260" ht="12.75" customHeight="1"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</row>
    <row r="261" ht="12.75" customHeight="1"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</row>
    <row r="262" ht="12.75" customHeight="1"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</row>
    <row r="263" ht="12.75" customHeight="1"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</row>
    <row r="264" ht="12.75" customHeight="1"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</row>
    <row r="265" ht="12.75" customHeight="1"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</row>
    <row r="266" ht="12.75" customHeight="1"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</row>
    <row r="267" ht="12.75" customHeight="1"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</row>
    <row r="268" ht="12.75" customHeight="1"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</row>
    <row r="269" ht="12.75" customHeight="1"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</row>
    <row r="270" ht="12.75" customHeight="1"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</row>
    <row r="271" ht="12.75" customHeight="1"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</row>
    <row r="272" ht="12.75" customHeight="1"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</row>
    <row r="273" ht="12.75" customHeight="1"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</row>
    <row r="274" ht="12.75" customHeight="1"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</row>
    <row r="275" ht="12.75" customHeight="1"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</row>
    <row r="276" ht="12.75" customHeight="1"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</row>
    <row r="277" ht="12.75" customHeight="1"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</row>
    <row r="278" ht="12.75" customHeight="1"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</row>
    <row r="279" ht="12.75" customHeight="1"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</row>
    <row r="280" ht="12.75" customHeight="1"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</row>
    <row r="281" ht="12.75" customHeight="1"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</row>
    <row r="282" ht="12.75" customHeight="1"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</row>
    <row r="283" ht="12.75" customHeight="1"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</row>
    <row r="284" ht="12.75" customHeight="1"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</row>
    <row r="285" ht="12.75" customHeight="1"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</row>
    <row r="286" ht="12.75" customHeight="1"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</row>
    <row r="287" ht="12.75" customHeight="1"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</row>
    <row r="288" ht="12.75" customHeight="1"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</row>
    <row r="289" ht="12.75" customHeight="1"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</row>
    <row r="290" ht="12.75" customHeight="1"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</row>
    <row r="291" ht="12.75" customHeight="1"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</row>
    <row r="292" ht="12.75" customHeight="1"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</row>
    <row r="293" ht="12.75" customHeight="1"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</row>
    <row r="294" ht="12.75" customHeight="1"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</row>
    <row r="295" ht="12.75" customHeight="1"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</row>
    <row r="296" ht="12.75" customHeight="1"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</row>
    <row r="297" ht="12.75" customHeight="1"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</row>
    <row r="298" ht="12.75" customHeight="1"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</row>
    <row r="299" ht="12.75" customHeight="1"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</row>
    <row r="300" ht="12.75" customHeight="1"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</row>
    <row r="301" ht="12.75" customHeight="1"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</row>
    <row r="302" ht="12.75" customHeight="1"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</row>
    <row r="303" ht="12.75" customHeight="1"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</row>
    <row r="304" ht="12.75" customHeight="1"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</row>
    <row r="305" ht="12.75" customHeight="1"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</row>
    <row r="306" ht="12.75" customHeight="1"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</row>
    <row r="307" ht="12.75" customHeight="1"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</row>
    <row r="308" ht="12.75" customHeight="1"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</row>
    <row r="309" ht="12.75" customHeight="1"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</row>
    <row r="310" ht="12.75" customHeight="1"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</row>
    <row r="311" ht="12.75" customHeight="1"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</row>
    <row r="312" ht="12.75" customHeight="1"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</row>
    <row r="313" ht="12.75" customHeight="1"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</row>
    <row r="314" ht="12.75" customHeight="1"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</row>
    <row r="315" ht="12.75" customHeight="1"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</row>
    <row r="316" ht="12.75" customHeight="1"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</row>
    <row r="317" ht="12.75" customHeight="1"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</row>
    <row r="318" ht="12.75" customHeight="1"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</row>
    <row r="319" ht="12.75" customHeight="1"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</row>
    <row r="320" ht="12.75" customHeight="1"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</row>
    <row r="321" ht="12.75" customHeight="1"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</row>
    <row r="322" ht="12.75" customHeight="1"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</row>
    <row r="323" ht="12.75" customHeight="1"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</row>
    <row r="324" ht="12.75" customHeight="1"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</row>
    <row r="325" ht="12.75" customHeight="1"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</row>
    <row r="326" ht="12.75" customHeight="1"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</row>
    <row r="327" ht="12.75" customHeight="1"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</row>
    <row r="328" ht="12.75" customHeight="1"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</row>
    <row r="329" ht="12.75" customHeight="1"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</row>
    <row r="330" ht="12.75" customHeight="1"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</row>
    <row r="331" ht="12.75" customHeight="1"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</row>
    <row r="332" ht="12.75" customHeight="1"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</row>
    <row r="333" ht="12.75" customHeight="1"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</row>
    <row r="334" ht="12.75" customHeight="1"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</row>
    <row r="335" ht="12.75" customHeight="1"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</row>
    <row r="336" ht="12.75" customHeight="1"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</row>
    <row r="337" ht="12.75" customHeight="1"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</row>
    <row r="338" ht="12.75" customHeight="1"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</row>
    <row r="339" ht="12.75" customHeight="1"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</row>
    <row r="340" ht="12.75" customHeight="1"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</row>
    <row r="341" ht="12.75" customHeight="1"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</row>
    <row r="342" ht="12.75" customHeight="1"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</row>
    <row r="343" ht="12.75" customHeight="1"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</row>
    <row r="344" ht="12.75" customHeight="1"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</row>
    <row r="345" ht="12.75" customHeight="1"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</row>
    <row r="346" ht="12.75" customHeight="1"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</row>
    <row r="347" ht="12.75" customHeight="1"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</row>
    <row r="348" ht="12.75" customHeight="1"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</row>
    <row r="349" ht="12.75" customHeight="1"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</row>
    <row r="350" ht="12.75" customHeight="1"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</row>
    <row r="351" ht="12.75" customHeight="1"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</row>
    <row r="352" ht="12.75" customHeight="1"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</row>
    <row r="353" ht="12.75" customHeight="1"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</row>
    <row r="354" ht="12.75" customHeight="1"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</row>
    <row r="355" ht="12.75" customHeight="1"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</row>
    <row r="356" ht="12.75" customHeight="1"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</row>
    <row r="357" ht="12.75" customHeight="1"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</row>
    <row r="358" ht="12.75" customHeight="1"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</row>
    <row r="359" ht="12.75" customHeight="1"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</row>
    <row r="360" ht="12.75" customHeight="1"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</row>
    <row r="361" ht="12.75" customHeight="1"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</row>
    <row r="362" ht="12.75" customHeight="1"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</row>
    <row r="363" ht="12.75" customHeight="1"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</row>
    <row r="364" ht="12.75" customHeight="1"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</row>
    <row r="365" ht="12.75" customHeight="1"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</row>
    <row r="366" ht="12.75" customHeight="1"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</row>
    <row r="367" ht="12.75" customHeight="1"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</row>
    <row r="368" ht="12.75" customHeight="1"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</row>
    <row r="369" ht="12.75" customHeight="1"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</row>
    <row r="370" ht="12.75" customHeight="1"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</row>
    <row r="371" ht="12.75" customHeight="1"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</row>
    <row r="372" ht="12.75" customHeight="1"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</row>
    <row r="373" ht="12.75" customHeight="1"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</row>
    <row r="374" ht="12.75" customHeight="1"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</row>
    <row r="375" ht="12.75" customHeight="1"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</row>
    <row r="376" ht="12.75" customHeight="1"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</row>
    <row r="377" ht="12.75" customHeight="1"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</row>
    <row r="378" ht="12.75" customHeight="1"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</row>
    <row r="379" ht="12.75" customHeight="1"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</row>
    <row r="380" ht="12.75" customHeight="1"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</row>
    <row r="381" ht="12.75" customHeight="1"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</row>
    <row r="382" ht="12.75" customHeight="1"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</row>
    <row r="383" ht="12.75" customHeight="1"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</row>
    <row r="384" ht="12.75" customHeight="1"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</row>
    <row r="385" ht="12.75" customHeight="1"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</row>
    <row r="386" ht="12.75" customHeight="1"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</row>
    <row r="387" ht="12.75" customHeight="1"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</row>
    <row r="388" ht="12.75" customHeight="1"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</row>
    <row r="389" ht="12.75" customHeight="1"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</row>
    <row r="390" ht="12.75" customHeight="1"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</row>
    <row r="391" ht="12.75" customHeight="1"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</row>
    <row r="392" ht="12.75" customHeight="1"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</row>
    <row r="393" ht="12.75" customHeight="1"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</row>
    <row r="394" ht="12.75" customHeight="1"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</row>
    <row r="395" ht="12.75" customHeight="1"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</row>
    <row r="396" ht="12.75" customHeight="1"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</row>
    <row r="397" ht="12.75" customHeight="1"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</row>
    <row r="398" ht="12.75" customHeight="1"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</row>
    <row r="399" ht="12.75" customHeight="1"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</row>
    <row r="400" ht="12.75" customHeight="1"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</row>
    <row r="401" ht="12.75" customHeight="1"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</row>
    <row r="402" ht="12.75" customHeight="1"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</row>
    <row r="403" ht="12.75" customHeight="1"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</row>
    <row r="404" ht="12.75" customHeight="1"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</row>
    <row r="405" ht="12.75" customHeight="1"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</row>
    <row r="406" ht="12.75" customHeight="1"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</row>
    <row r="407" ht="12.75" customHeight="1"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</row>
    <row r="408" ht="12.75" customHeight="1"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</row>
    <row r="409" ht="12.75" customHeight="1"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</row>
    <row r="410" ht="12.75" customHeight="1"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</row>
    <row r="411" ht="12.75" customHeight="1"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</row>
    <row r="412" ht="12.75" customHeight="1"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</row>
    <row r="413" ht="12.75" customHeight="1"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</row>
    <row r="414" ht="12.75" customHeight="1"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</row>
    <row r="415" ht="12.75" customHeight="1"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</row>
    <row r="416" ht="12.75" customHeight="1"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</row>
    <row r="417" ht="12.75" customHeight="1"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</row>
    <row r="418" ht="12.75" customHeight="1"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</row>
    <row r="419" ht="12.75" customHeight="1"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</row>
    <row r="420" ht="12.75" customHeight="1"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</row>
    <row r="421" ht="12.75" customHeight="1"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</row>
    <row r="422" ht="12.75" customHeight="1"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</row>
    <row r="423" ht="12.75" customHeight="1"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</row>
    <row r="424" ht="12.75" customHeight="1"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</row>
    <row r="425" ht="12.75" customHeight="1"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</row>
    <row r="426" ht="12.75" customHeight="1"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</row>
    <row r="427" ht="12.75" customHeight="1"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</row>
    <row r="428" ht="12.75" customHeight="1"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</row>
    <row r="429" ht="12.75" customHeight="1"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</row>
    <row r="430" ht="12.75" customHeight="1"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</row>
    <row r="431" ht="12.75" customHeight="1"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</row>
    <row r="432" ht="12.75" customHeight="1"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</row>
    <row r="433" ht="12.75" customHeight="1"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</row>
    <row r="434" ht="12.75" customHeight="1"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</row>
    <row r="435" ht="12.75" customHeight="1"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</row>
    <row r="436" ht="12.75" customHeight="1"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</row>
    <row r="437" ht="12.75" customHeight="1"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</row>
    <row r="438" ht="12.75" customHeight="1"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</row>
    <row r="439" ht="12.75" customHeight="1"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</row>
    <row r="440" ht="12.75" customHeight="1"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</row>
    <row r="441" ht="12.75" customHeight="1"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</row>
    <row r="442" ht="12.75" customHeight="1"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</row>
    <row r="443" ht="12.75" customHeight="1"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</row>
    <row r="444" ht="12.75" customHeight="1"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</row>
    <row r="445" ht="12.75" customHeight="1"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</row>
    <row r="446" ht="12.75" customHeight="1"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</row>
    <row r="447" ht="12.75" customHeight="1"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</row>
    <row r="448" ht="12.75" customHeight="1"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</row>
    <row r="449" ht="12.75" customHeight="1"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</row>
    <row r="450" ht="12.75" customHeight="1"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</row>
    <row r="451" ht="12.75" customHeight="1"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</row>
    <row r="452" ht="12.75" customHeight="1"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</row>
    <row r="453" ht="12.75" customHeight="1"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</row>
    <row r="454" ht="12.75" customHeight="1"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</row>
    <row r="455" ht="12.75" customHeight="1"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</row>
    <row r="456" ht="12.75" customHeight="1"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</row>
    <row r="457" ht="12.75" customHeight="1"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</row>
    <row r="458" ht="12.75" customHeight="1"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</row>
    <row r="459" ht="12.75" customHeight="1"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</row>
    <row r="460" ht="12.75" customHeight="1"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</row>
    <row r="461" ht="12.75" customHeight="1"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</row>
    <row r="462" ht="12.75" customHeight="1"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</row>
    <row r="463" ht="12.75" customHeight="1"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</row>
    <row r="464" ht="12.75" customHeight="1"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</row>
    <row r="465" ht="12.75" customHeight="1"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</row>
    <row r="466" ht="12.75" customHeight="1"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</row>
    <row r="467" ht="12.75" customHeight="1"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</row>
    <row r="468" ht="12.75" customHeight="1"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</row>
    <row r="469" ht="12.75" customHeight="1"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</row>
    <row r="470" ht="12.75" customHeight="1"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</row>
    <row r="471" ht="12.75" customHeight="1"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</row>
    <row r="472" ht="12.75" customHeight="1"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</row>
    <row r="473" ht="12.75" customHeight="1"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</row>
    <row r="474" ht="12.75" customHeight="1"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</row>
    <row r="475" ht="12.75" customHeight="1"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</row>
    <row r="476" ht="12.75" customHeight="1"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</row>
    <row r="477" ht="12.75" customHeight="1"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</row>
    <row r="478" ht="12.75" customHeight="1"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</row>
    <row r="479" ht="12.75" customHeight="1"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</row>
    <row r="480" ht="12.75" customHeight="1"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</row>
    <row r="481" ht="12.75" customHeight="1"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</row>
    <row r="482" ht="12.75" customHeight="1"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</row>
    <row r="483" ht="12.75" customHeight="1"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</row>
    <row r="484" ht="12.75" customHeight="1"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</row>
    <row r="485" ht="12.75" customHeight="1"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</row>
    <row r="486" ht="12.75" customHeight="1"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</row>
    <row r="487" ht="12.75" customHeight="1"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</row>
    <row r="488" ht="12.75" customHeight="1"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</row>
    <row r="489" ht="12.75" customHeight="1"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</row>
    <row r="490" ht="12.75" customHeight="1"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</row>
    <row r="491" ht="12.75" customHeight="1"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</row>
    <row r="492" ht="12.75" customHeight="1"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</row>
    <row r="493" ht="12.75" customHeight="1"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</row>
    <row r="494" ht="12.75" customHeight="1"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</row>
    <row r="495" ht="12.75" customHeight="1"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</row>
    <row r="496" ht="12.75" customHeight="1"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</row>
    <row r="497" ht="12.75" customHeight="1"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</row>
    <row r="498" ht="12.75" customHeight="1"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</row>
    <row r="499" ht="12.75" customHeight="1"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</row>
    <row r="500" ht="12.75" customHeight="1"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</row>
    <row r="501" ht="12.75" customHeight="1"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</row>
    <row r="502" ht="12.75" customHeight="1"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</row>
    <row r="503" ht="12.75" customHeight="1"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</row>
    <row r="504" ht="12.75" customHeight="1"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</row>
    <row r="505" ht="12.75" customHeight="1"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</row>
    <row r="506" ht="12.75" customHeight="1"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</row>
    <row r="507" ht="12.75" customHeight="1"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</row>
    <row r="508" ht="12.75" customHeight="1"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</row>
    <row r="509" ht="12.75" customHeight="1"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</row>
    <row r="510" ht="12.75" customHeight="1"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</row>
    <row r="511" ht="12.75" customHeight="1"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</row>
    <row r="512" ht="12.75" customHeight="1"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</row>
    <row r="513" ht="12.75" customHeight="1"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</row>
    <row r="514" ht="12.75" customHeight="1"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</row>
    <row r="515" ht="12.75" customHeight="1"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</row>
    <row r="516" ht="12.75" customHeight="1"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</row>
    <row r="517" ht="12.75" customHeight="1"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</row>
    <row r="518" ht="12.75" customHeight="1"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</row>
    <row r="519" ht="12.75" customHeight="1"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</row>
    <row r="520" ht="12.75" customHeight="1"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</row>
    <row r="521" ht="12.75" customHeight="1"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</row>
    <row r="522" ht="12.75" customHeight="1"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</row>
    <row r="523" ht="12.75" customHeight="1"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</row>
    <row r="524" ht="12.75" customHeight="1"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</row>
    <row r="525" ht="12.75" customHeight="1"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</row>
    <row r="526" ht="12.75" customHeight="1"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</row>
    <row r="527" ht="12.75" customHeight="1"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</row>
    <row r="528" ht="12.75" customHeight="1"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</row>
    <row r="529" ht="12.75" customHeight="1"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</row>
    <row r="530" ht="12.75" customHeight="1"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</row>
    <row r="531" ht="12.75" customHeight="1"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</row>
    <row r="532" ht="12.75" customHeight="1"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</row>
    <row r="533" ht="12.75" customHeight="1"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</row>
    <row r="534" ht="12.75" customHeight="1"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</row>
    <row r="535" ht="12.75" customHeight="1"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</row>
    <row r="536" ht="12.75" customHeight="1"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</row>
    <row r="537" ht="12.75" customHeight="1"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</row>
    <row r="538" ht="12.75" customHeight="1"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</row>
    <row r="539" ht="12.75" customHeight="1"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</row>
    <row r="540" ht="12.75" customHeight="1"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</row>
    <row r="541" ht="12.75" customHeight="1"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</row>
    <row r="542" ht="12.75" customHeight="1"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</row>
    <row r="543" ht="12.75" customHeight="1"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</row>
    <row r="544" ht="12.75" customHeight="1"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</row>
    <row r="545" ht="12.75" customHeight="1"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</row>
    <row r="546" ht="12.75" customHeight="1"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</row>
    <row r="547" ht="12.75" customHeight="1"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</row>
    <row r="548" ht="12.75" customHeight="1"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</row>
    <row r="549" ht="12.75" customHeight="1"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</row>
    <row r="550" ht="12.75" customHeight="1"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</row>
    <row r="551" ht="12.75" customHeight="1"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</row>
    <row r="552" ht="12.75" customHeight="1"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</row>
    <row r="553" ht="12.75" customHeight="1"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</row>
    <row r="554" ht="12.75" customHeight="1"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</row>
    <row r="555" ht="12.75" customHeight="1"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</row>
    <row r="556" ht="12.75" customHeight="1"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</row>
    <row r="557" ht="12.75" customHeight="1"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</row>
    <row r="558" ht="12.75" customHeight="1"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</row>
    <row r="559" ht="12.75" customHeight="1"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</row>
    <row r="560" ht="12.75" customHeight="1"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</row>
    <row r="561" ht="12.75" customHeight="1"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</row>
    <row r="562" ht="12.75" customHeight="1"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</row>
    <row r="563" ht="12.75" customHeight="1"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</row>
    <row r="564" ht="12.75" customHeight="1"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</row>
    <row r="565" ht="12.75" customHeight="1"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</row>
    <row r="566" ht="12.75" customHeight="1"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</row>
    <row r="567" ht="12.75" customHeight="1"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</row>
    <row r="568" ht="12.75" customHeight="1"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</row>
    <row r="569" ht="12.75" customHeight="1"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</row>
    <row r="570" ht="12.75" customHeight="1"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</row>
    <row r="571" ht="12.75" customHeight="1"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</row>
    <row r="572" ht="12.75" customHeight="1"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</row>
    <row r="573" ht="12.75" customHeight="1"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</row>
    <row r="574" ht="12.75" customHeight="1"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</row>
    <row r="575" ht="12.75" customHeight="1"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</row>
    <row r="576" ht="12.75" customHeight="1"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</row>
    <row r="577" ht="12.75" customHeight="1"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</row>
    <row r="578" ht="12.75" customHeight="1"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</row>
    <row r="579" ht="12.75" customHeight="1"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</row>
    <row r="580" ht="12.75" customHeight="1"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</row>
    <row r="581" ht="12.75" customHeight="1"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</row>
    <row r="582" ht="12.75" customHeight="1"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</row>
    <row r="583" ht="12.75" customHeight="1"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</row>
    <row r="584" ht="12.75" customHeight="1"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</row>
    <row r="585" ht="12.75" customHeight="1"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</row>
    <row r="586" ht="12.75" customHeight="1"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</row>
    <row r="587" ht="12.75" customHeight="1"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</row>
    <row r="588" ht="12.75" customHeight="1"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</row>
    <row r="589" ht="12.75" customHeight="1"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</row>
    <row r="590" ht="12.75" customHeight="1"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</row>
    <row r="591" ht="12.75" customHeight="1"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</row>
    <row r="592" ht="12.75" customHeight="1"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</row>
    <row r="593" ht="12.75" customHeight="1"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</row>
    <row r="594" ht="12.75" customHeight="1"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</row>
    <row r="595" ht="12.75" customHeight="1"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</row>
    <row r="596" ht="12.75" customHeight="1"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</row>
    <row r="597" ht="12.75" customHeight="1"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</row>
    <row r="598" ht="12.75" customHeight="1"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</row>
    <row r="599" ht="12.75" customHeight="1"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</row>
    <row r="600" ht="12.75" customHeight="1"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</row>
    <row r="601" ht="12.75" customHeight="1"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</row>
    <row r="602" ht="12.75" customHeight="1"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</row>
    <row r="603" ht="12.75" customHeight="1"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</row>
    <row r="604" ht="12.75" customHeight="1"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</row>
    <row r="605" ht="12.75" customHeight="1"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</row>
    <row r="606" ht="12.75" customHeight="1"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</row>
    <row r="607" ht="12.75" customHeight="1"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</row>
    <row r="608" ht="12.75" customHeight="1"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</row>
    <row r="609" ht="12.75" customHeight="1"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</row>
    <row r="610" ht="12.75" customHeight="1"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</row>
    <row r="611" ht="12.75" customHeight="1"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</row>
    <row r="612" ht="12.75" customHeight="1"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</row>
    <row r="613" ht="12.75" customHeight="1"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</row>
    <row r="614" ht="12.75" customHeight="1"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</row>
    <row r="615" ht="12.75" customHeight="1"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</row>
    <row r="616" ht="12.75" customHeight="1"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</row>
    <row r="617" ht="12.75" customHeight="1"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</row>
    <row r="618" ht="12.75" customHeight="1"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</row>
    <row r="619" ht="12.75" customHeight="1"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</row>
    <row r="620" ht="12.75" customHeight="1"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</row>
    <row r="621" ht="12.75" customHeight="1"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</row>
    <row r="622" ht="12.75" customHeight="1"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</row>
    <row r="623" ht="12.75" customHeight="1"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</row>
    <row r="624" ht="12.75" customHeight="1"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</row>
    <row r="625" ht="12.75" customHeight="1"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</row>
    <row r="626" ht="12.75" customHeight="1"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</row>
    <row r="627" ht="12.75" customHeight="1"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</row>
    <row r="628" ht="12.75" customHeight="1"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</row>
    <row r="629" ht="12.75" customHeight="1"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</row>
    <row r="630" ht="12.75" customHeight="1"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</row>
    <row r="631" ht="12.75" customHeight="1"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</row>
    <row r="632" ht="12.75" customHeight="1"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</row>
    <row r="633" ht="12.75" customHeight="1"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</row>
    <row r="634" ht="12.75" customHeight="1"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</row>
    <row r="635" ht="12.75" customHeight="1"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</row>
    <row r="636" ht="12.75" customHeight="1"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</row>
    <row r="637" ht="12.75" customHeight="1"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</row>
    <row r="638" ht="12.75" customHeight="1"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</row>
    <row r="639" ht="12.75" customHeight="1"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</row>
    <row r="640" ht="12.75" customHeight="1"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</row>
    <row r="641" ht="12.75" customHeight="1"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</row>
    <row r="642" ht="12.75" customHeight="1"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</row>
    <row r="643" ht="12.75" customHeight="1"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</row>
    <row r="644" ht="12.75" customHeight="1"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</row>
    <row r="645" ht="12.75" customHeight="1"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</row>
    <row r="646" ht="12.75" customHeight="1"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</row>
    <row r="647" ht="12.75" customHeight="1"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</row>
    <row r="648" ht="12.75" customHeight="1"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</row>
    <row r="649" ht="12.75" customHeight="1"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</row>
    <row r="650" ht="12.75" customHeight="1"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</row>
    <row r="651" ht="12.75" customHeight="1"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</row>
    <row r="652" ht="12.75" customHeight="1"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</row>
    <row r="653" ht="12.75" customHeight="1"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</row>
    <row r="654" ht="12.75" customHeight="1"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</row>
    <row r="655" ht="12.75" customHeight="1"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</row>
    <row r="656" ht="12.75" customHeight="1"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</row>
    <row r="657" ht="12.75" customHeight="1"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</row>
    <row r="658" ht="12.75" customHeight="1"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</row>
    <row r="659" ht="12.75" customHeight="1"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</row>
    <row r="660" ht="12.75" customHeight="1"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</row>
    <row r="661" ht="12.75" customHeight="1"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</row>
    <row r="662" ht="12.75" customHeight="1"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</row>
    <row r="663" ht="12.75" customHeight="1"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</row>
    <row r="664" ht="12.75" customHeight="1"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</row>
    <row r="665" ht="12.75" customHeight="1"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</row>
    <row r="666" ht="12.75" customHeight="1"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</row>
    <row r="667" ht="12.75" customHeight="1"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</row>
    <row r="668" ht="12.75" customHeight="1"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</row>
    <row r="669" ht="12.75" customHeight="1"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</row>
    <row r="670" ht="12.75" customHeight="1"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</row>
    <row r="671" ht="12.75" customHeight="1"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</row>
    <row r="672" ht="12.75" customHeight="1"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</row>
    <row r="673" ht="12.75" customHeight="1"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</row>
    <row r="674" ht="12.75" customHeight="1"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</row>
    <row r="675" ht="12.75" customHeight="1"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</row>
    <row r="676" ht="12.75" customHeight="1"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</row>
    <row r="677" ht="12.75" customHeight="1"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</row>
    <row r="678" ht="12.75" customHeight="1"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</row>
    <row r="679" ht="12.75" customHeight="1"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</row>
    <row r="680" ht="12.75" customHeight="1"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</row>
    <row r="681" ht="12.75" customHeight="1"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</row>
    <row r="682" ht="12.75" customHeight="1"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</row>
    <row r="683" ht="12.75" customHeight="1"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</row>
    <row r="684" ht="12.75" customHeight="1"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</row>
    <row r="685" ht="12.75" customHeight="1"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</row>
    <row r="686" ht="12.75" customHeight="1"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</row>
    <row r="687" ht="12.75" customHeight="1"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</row>
    <row r="688" ht="12.75" customHeight="1"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</row>
    <row r="689" ht="12.75" customHeight="1"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</row>
    <row r="690" ht="12.75" customHeight="1"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</row>
    <row r="691" ht="12.75" customHeight="1"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</row>
    <row r="692" ht="12.75" customHeight="1"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</row>
    <row r="693" ht="12.75" customHeight="1"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</row>
    <row r="694" ht="12.75" customHeight="1"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</row>
    <row r="695" ht="12.75" customHeight="1"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</row>
    <row r="696" ht="12.75" customHeight="1"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</row>
    <row r="697" ht="12.75" customHeight="1"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</row>
    <row r="698" ht="12.75" customHeight="1"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</row>
    <row r="699" ht="12.75" customHeight="1"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</row>
    <row r="700" ht="12.75" customHeight="1"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</row>
    <row r="701" ht="12.75" customHeight="1"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</row>
    <row r="702" ht="12.75" customHeight="1"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</row>
    <row r="703" ht="12.75" customHeight="1"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</row>
    <row r="704" ht="12.75" customHeight="1"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</row>
    <row r="705" ht="12.75" customHeight="1"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</row>
    <row r="706" ht="12.75" customHeight="1"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</row>
    <row r="707" ht="12.75" customHeight="1"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</row>
    <row r="708" ht="12.75" customHeight="1"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</row>
    <row r="709" ht="12.75" customHeight="1"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</row>
    <row r="710" ht="12.75" customHeight="1"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</row>
    <row r="711" ht="12.75" customHeight="1"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</row>
    <row r="712" ht="12.75" customHeight="1"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</row>
    <row r="713" ht="12.75" customHeight="1"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</row>
    <row r="714" ht="12.75" customHeight="1"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</row>
    <row r="715" ht="12.75" customHeight="1"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</row>
    <row r="716" ht="12.75" customHeight="1"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</row>
    <row r="717" ht="12.75" customHeight="1"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</row>
    <row r="718" ht="12.75" customHeight="1"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</row>
    <row r="719" ht="12.75" customHeight="1"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</row>
    <row r="720" ht="12.75" customHeight="1"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</row>
    <row r="721" ht="12.75" customHeight="1"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</row>
    <row r="722" ht="12.75" customHeight="1"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</row>
    <row r="723" ht="12.75" customHeight="1"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</row>
    <row r="724" ht="12.75" customHeight="1"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</row>
    <row r="725" ht="12.75" customHeight="1"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</row>
    <row r="726" ht="12.75" customHeight="1"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</row>
    <row r="727" ht="12.75" customHeight="1"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</row>
    <row r="728" ht="12.75" customHeight="1"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</row>
    <row r="729" ht="12.75" customHeight="1"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</row>
    <row r="730" ht="12.75" customHeight="1"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</row>
    <row r="731" ht="12.75" customHeight="1"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</row>
    <row r="732" ht="12.75" customHeight="1"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</row>
    <row r="733" ht="12.75" customHeight="1"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</row>
    <row r="734" ht="12.75" customHeight="1"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</row>
    <row r="735" ht="12.75" customHeight="1"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</row>
    <row r="736" ht="12.75" customHeight="1"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</row>
    <row r="737" ht="12.75" customHeight="1"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</row>
    <row r="738" ht="12.75" customHeight="1"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</row>
    <row r="739" ht="12.75" customHeight="1"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</row>
    <row r="740" ht="12.75" customHeight="1"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</row>
    <row r="741" ht="12.75" customHeight="1"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</row>
    <row r="742" ht="12.75" customHeight="1"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</row>
    <row r="743" ht="12.75" customHeight="1"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</row>
    <row r="744" ht="12.75" customHeight="1"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</row>
    <row r="745" ht="12.75" customHeight="1"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</row>
    <row r="746" ht="12.75" customHeight="1"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</row>
    <row r="747" ht="12.75" customHeight="1"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</row>
    <row r="748" ht="12.75" customHeight="1"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</row>
    <row r="749" ht="12.75" customHeight="1"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</row>
    <row r="750" ht="12.75" customHeight="1"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</row>
    <row r="751" ht="12.75" customHeight="1"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</row>
    <row r="752" ht="12.75" customHeight="1"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</row>
    <row r="753" ht="12.75" customHeight="1"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</row>
    <row r="754" ht="12.75" customHeight="1"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</row>
    <row r="755" ht="12.75" customHeight="1"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</row>
    <row r="756" ht="12.75" customHeight="1"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</row>
    <row r="757" ht="12.75" customHeight="1"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</row>
    <row r="758" ht="12.75" customHeight="1"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</row>
    <row r="759" ht="12.75" customHeight="1"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</row>
    <row r="760" ht="12.75" customHeight="1"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</row>
    <row r="761" ht="12.75" customHeight="1"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</row>
    <row r="762" ht="12.75" customHeight="1"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</row>
    <row r="763" ht="12.75" customHeight="1"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</row>
    <row r="764" ht="12.75" customHeight="1"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</row>
    <row r="765" ht="12.75" customHeight="1"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</row>
    <row r="766" ht="12.75" customHeight="1"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</row>
    <row r="767" ht="12.75" customHeight="1"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</row>
    <row r="768" ht="12.75" customHeight="1"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</row>
    <row r="769" ht="12.75" customHeight="1"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</row>
    <row r="770" ht="12.75" customHeight="1"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</row>
    <row r="771" ht="12.75" customHeight="1"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</row>
    <row r="772" ht="12.75" customHeight="1"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</row>
    <row r="773" ht="12.75" customHeight="1"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</row>
    <row r="774" ht="12.75" customHeight="1"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</row>
    <row r="775" ht="12.75" customHeight="1"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</row>
    <row r="776" ht="12.75" customHeight="1"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</row>
    <row r="777" ht="12.75" customHeight="1"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</row>
    <row r="778" ht="12.75" customHeight="1"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</row>
    <row r="779" ht="12.75" customHeight="1"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</row>
    <row r="780" ht="12.75" customHeight="1"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</row>
    <row r="781" ht="12.75" customHeight="1"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</row>
    <row r="782" ht="12.75" customHeight="1"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</row>
    <row r="783" ht="12.75" customHeight="1"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</row>
    <row r="784" ht="12.75" customHeight="1"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</row>
    <row r="785" ht="12.75" customHeight="1"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</row>
    <row r="786" ht="12.75" customHeight="1"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</row>
    <row r="787" ht="12.75" customHeight="1"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</row>
    <row r="788" ht="12.75" customHeight="1"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</row>
    <row r="789" ht="12.75" customHeight="1"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</row>
    <row r="790" ht="12.75" customHeight="1"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</row>
    <row r="791" ht="12.75" customHeight="1"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</row>
    <row r="792" ht="12.75" customHeight="1"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</row>
    <row r="793" ht="12.75" customHeight="1"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</row>
    <row r="794" ht="12.75" customHeight="1"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</row>
    <row r="795" ht="12.75" customHeight="1"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</row>
    <row r="796" ht="12.75" customHeight="1"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</row>
    <row r="797" ht="12.75" customHeight="1"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</row>
    <row r="798" ht="12.75" customHeight="1"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</row>
    <row r="799" ht="12.75" customHeight="1"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</row>
    <row r="800" ht="12.75" customHeight="1"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</row>
    <row r="801" ht="12.75" customHeight="1"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</row>
    <row r="802" ht="12.75" customHeight="1"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</row>
    <row r="803" ht="12.75" customHeight="1"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</row>
    <row r="804" ht="12.75" customHeight="1"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</row>
    <row r="805" ht="12.75" customHeight="1"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</row>
    <row r="806" ht="12.75" customHeight="1"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</row>
    <row r="807" ht="12.75" customHeight="1"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</row>
    <row r="808" ht="12.75" customHeight="1"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</row>
    <row r="809" ht="12.75" customHeight="1"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</row>
    <row r="810" ht="12.75" customHeight="1"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</row>
    <row r="811" ht="12.75" customHeight="1"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</row>
    <row r="812" ht="12.75" customHeight="1"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</row>
    <row r="813" ht="12.75" customHeight="1"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</row>
    <row r="814" ht="12.75" customHeight="1"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</row>
    <row r="815" ht="12.75" customHeight="1"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</row>
    <row r="816" ht="12.75" customHeight="1"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</row>
    <row r="817" ht="12.75" customHeight="1"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</row>
    <row r="818" ht="12.75" customHeight="1"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</row>
    <row r="819" ht="12.75" customHeight="1"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</row>
    <row r="820" ht="12.75" customHeight="1"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</row>
    <row r="821" ht="12.75" customHeight="1"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</row>
    <row r="822" ht="12.75" customHeight="1"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</row>
    <row r="823" ht="12.75" customHeight="1"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</row>
    <row r="824" ht="12.75" customHeight="1"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</row>
    <row r="825" ht="12.75" customHeight="1"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</row>
    <row r="826" ht="12.75" customHeight="1"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</row>
    <row r="827" ht="12.75" customHeight="1"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</row>
    <row r="828" ht="12.75" customHeight="1"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</row>
    <row r="829" ht="12.75" customHeight="1"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</row>
    <row r="830" ht="12.75" customHeight="1"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</row>
    <row r="831" ht="12.75" customHeight="1"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</row>
    <row r="832" ht="12.75" customHeight="1"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</row>
    <row r="833" ht="12.75" customHeight="1"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</row>
    <row r="834" ht="12.75" customHeight="1"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</row>
    <row r="835" ht="12.75" customHeight="1"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</row>
    <row r="836" ht="12.75" customHeight="1"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</row>
    <row r="837" ht="12.75" customHeight="1"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</row>
    <row r="838" ht="12.75" customHeight="1"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</row>
    <row r="839" ht="12.75" customHeight="1"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</row>
    <row r="840" ht="12.75" customHeight="1"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</row>
    <row r="841" ht="12.75" customHeight="1"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</row>
    <row r="842" ht="12.75" customHeight="1"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</row>
    <row r="843" ht="12.75" customHeight="1"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</row>
    <row r="844" ht="12.75" customHeight="1"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</row>
    <row r="845" ht="12.75" customHeight="1"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</row>
    <row r="846" ht="12.75" customHeight="1"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</row>
    <row r="847" ht="12.75" customHeight="1"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</row>
    <row r="848" ht="12.75" customHeight="1"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</row>
    <row r="849" ht="12.75" customHeight="1"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</row>
    <row r="850" ht="12.75" customHeight="1"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</row>
    <row r="851" ht="12.75" customHeight="1"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</row>
    <row r="852" ht="12.75" customHeight="1"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</row>
    <row r="853" ht="12.75" customHeight="1"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</row>
    <row r="854" ht="12.75" customHeight="1"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</row>
    <row r="855" ht="12.75" customHeight="1"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</row>
    <row r="856" ht="12.75" customHeight="1"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</row>
    <row r="857" ht="12.75" customHeight="1"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</row>
    <row r="858" ht="12.75" customHeight="1"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</row>
    <row r="859" ht="12.75" customHeight="1"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</row>
    <row r="860" ht="12.75" customHeight="1"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</row>
    <row r="861" ht="12.75" customHeight="1"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</row>
    <row r="862" ht="12.75" customHeight="1"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</row>
    <row r="863" ht="12.75" customHeight="1"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</row>
    <row r="864" ht="12.75" customHeight="1"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</row>
    <row r="865" ht="12.75" customHeight="1"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</row>
    <row r="866" ht="12.75" customHeight="1"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</row>
    <row r="867" ht="12.75" customHeight="1"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</row>
    <row r="868" ht="12.75" customHeight="1"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</row>
    <row r="869" ht="12.75" customHeight="1"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</row>
    <row r="870" ht="12.75" customHeight="1"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</row>
    <row r="871" ht="12.75" customHeight="1"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</row>
    <row r="872" ht="12.75" customHeight="1"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</row>
    <row r="873" ht="12.75" customHeight="1"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</row>
    <row r="874" ht="12.75" customHeight="1"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</row>
    <row r="875" ht="12.75" customHeight="1"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</row>
    <row r="876" ht="12.75" customHeight="1"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</row>
    <row r="877" ht="12.75" customHeight="1"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</row>
    <row r="878" ht="12.75" customHeight="1"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</row>
    <row r="879" ht="12.75" customHeight="1"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</row>
    <row r="880" ht="12.75" customHeight="1"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</row>
    <row r="881" ht="12.75" customHeight="1"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</row>
    <row r="882" ht="12.75" customHeight="1"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</row>
    <row r="883" ht="12.75" customHeight="1"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</row>
    <row r="884" ht="12.75" customHeight="1"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</row>
    <row r="885" ht="12.75" customHeight="1"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</row>
    <row r="886" ht="12.75" customHeight="1"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</row>
    <row r="887" ht="12.75" customHeight="1"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</row>
    <row r="888" ht="12.75" customHeight="1"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</row>
    <row r="889" ht="12.75" customHeight="1"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</row>
    <row r="890" ht="12.75" customHeight="1"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</row>
    <row r="891" ht="12.75" customHeight="1"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</row>
    <row r="892" ht="12.75" customHeight="1"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</row>
    <row r="893" ht="12.75" customHeight="1"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</row>
    <row r="894" ht="12.75" customHeight="1"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</row>
    <row r="895" ht="12.75" customHeight="1"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</row>
    <row r="896" ht="12.75" customHeight="1"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</row>
    <row r="897" ht="12.75" customHeight="1"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</row>
    <row r="898" ht="12.75" customHeight="1"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</row>
    <row r="899" ht="12.75" customHeight="1"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</row>
    <row r="900" ht="12.75" customHeight="1"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</row>
    <row r="901" ht="12.75" customHeight="1"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</row>
    <row r="902" ht="12.75" customHeight="1"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</row>
    <row r="903" ht="12.75" customHeight="1"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</row>
    <row r="904" ht="12.75" customHeight="1"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</row>
    <row r="905" ht="12.75" customHeight="1"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</row>
    <row r="906" ht="12.75" customHeight="1"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</row>
    <row r="907" ht="12.75" customHeight="1"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</row>
    <row r="908" ht="12.75" customHeight="1"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</row>
    <row r="909" ht="12.75" customHeight="1"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</row>
    <row r="910" ht="12.75" customHeight="1"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</row>
    <row r="911" ht="12.75" customHeight="1"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</row>
    <row r="912" ht="12.75" customHeight="1"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</row>
    <row r="913" ht="12.75" customHeight="1"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</row>
    <row r="914" ht="12.75" customHeight="1"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</row>
    <row r="915" ht="12.75" customHeight="1"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</row>
    <row r="916" ht="12.75" customHeight="1"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</row>
    <row r="917" ht="12.75" customHeight="1"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</row>
    <row r="918" ht="12.75" customHeight="1"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</row>
    <row r="919" ht="12.75" customHeight="1"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</row>
    <row r="920" ht="12.75" customHeight="1"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</row>
    <row r="921" ht="12.75" customHeight="1"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</row>
    <row r="922" ht="12.75" customHeight="1"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</row>
    <row r="923" ht="12.75" customHeight="1"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</row>
    <row r="924" ht="12.75" customHeight="1"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</row>
    <row r="925" ht="12.75" customHeight="1"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</row>
    <row r="926" ht="12.75" customHeight="1"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</row>
    <row r="927" ht="12.75" customHeight="1"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</row>
    <row r="928" ht="12.75" customHeight="1"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</row>
    <row r="929" ht="12.75" customHeight="1"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</row>
    <row r="930" ht="12.75" customHeight="1"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</row>
    <row r="931" ht="12.75" customHeight="1"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</row>
    <row r="932" ht="12.75" customHeight="1"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</row>
    <row r="933" ht="12.75" customHeight="1"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</row>
    <row r="934" ht="12.75" customHeight="1"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</row>
    <row r="935" ht="12.75" customHeight="1"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</row>
    <row r="936" ht="12.75" customHeight="1"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</row>
    <row r="937" ht="12.75" customHeight="1"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</row>
    <row r="938" ht="12.75" customHeight="1"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</row>
    <row r="939" ht="12.75" customHeight="1"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</row>
    <row r="940" ht="12.75" customHeight="1"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</row>
    <row r="941" ht="12.75" customHeight="1"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</row>
    <row r="942" ht="12.75" customHeight="1"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</row>
    <row r="943" ht="12.75" customHeight="1"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</row>
    <row r="944" ht="12.75" customHeight="1"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</row>
    <row r="945" ht="12.75" customHeight="1"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</row>
    <row r="946" ht="12.75" customHeight="1"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</row>
    <row r="947" ht="12.75" customHeight="1"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</row>
    <row r="948" ht="12.75" customHeight="1"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</row>
    <row r="949" ht="12.75" customHeight="1"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</row>
    <row r="950" ht="12.75" customHeight="1"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</row>
    <row r="951" ht="12.75" customHeight="1"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</row>
    <row r="952" ht="12.75" customHeight="1"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</row>
    <row r="953" ht="12.75" customHeight="1"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</row>
    <row r="954" ht="12.75" customHeight="1"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</row>
    <row r="955" ht="12.75" customHeight="1"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</row>
    <row r="956" ht="12.75" customHeight="1"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</row>
    <row r="957" ht="12.75" customHeight="1"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</row>
    <row r="958" ht="12.75" customHeight="1"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</row>
    <row r="959" ht="12.75" customHeight="1"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</row>
    <row r="960" ht="12.75" customHeight="1"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</row>
    <row r="961" ht="12.75" customHeight="1"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</row>
    <row r="962" ht="12.75" customHeight="1"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</row>
    <row r="963" ht="12.75" customHeight="1"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</row>
    <row r="964" ht="12.75" customHeight="1"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</row>
    <row r="965" ht="12.75" customHeight="1"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</row>
    <row r="966" ht="12.75" customHeight="1"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</row>
    <row r="967" ht="12.75" customHeight="1"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</row>
    <row r="968" ht="12.75" customHeight="1"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</row>
    <row r="969" ht="12.75" customHeight="1"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</row>
    <row r="970" ht="12.75" customHeight="1"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</row>
    <row r="971" ht="12.75" customHeight="1"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</row>
    <row r="972" ht="12.75" customHeight="1"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</row>
    <row r="973" ht="12.75" customHeight="1"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</row>
    <row r="974" ht="12.75" customHeight="1"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</row>
    <row r="975" ht="12.75" customHeight="1"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</row>
    <row r="976" ht="12.75" customHeight="1"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</row>
    <row r="977" ht="12.75" customHeight="1"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</row>
    <row r="978" ht="12.75" customHeight="1"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</row>
    <row r="979" ht="12.75" customHeight="1"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</row>
    <row r="980" ht="12.75" customHeight="1"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</row>
    <row r="981" ht="12.75" customHeight="1"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</row>
    <row r="982" ht="12.75" customHeight="1"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</row>
    <row r="983" ht="12.75" customHeight="1"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</row>
    <row r="984" ht="12.75" customHeight="1"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</row>
    <row r="985" ht="12.75" customHeight="1"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</row>
    <row r="986" ht="12.75" customHeight="1"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</row>
    <row r="987" ht="12.75" customHeight="1"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</row>
    <row r="988" ht="12.75" customHeight="1"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</row>
    <row r="989" ht="12.75" customHeight="1"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</row>
    <row r="990" ht="12.75" customHeight="1"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</row>
    <row r="991" ht="12.75" customHeight="1"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</row>
    <row r="992" ht="12.75" customHeight="1"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</row>
    <row r="993" ht="12.75" customHeight="1"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</row>
    <row r="994" ht="12.75" customHeight="1"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</row>
    <row r="995" ht="12.75" customHeight="1"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</row>
    <row r="996" ht="12.75" customHeight="1"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</row>
    <row r="997" ht="12.75" customHeight="1"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</row>
    <row r="998" ht="12.75" customHeight="1"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</row>
    <row r="999" ht="12.75" customHeight="1"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</row>
    <row r="1000" ht="12.75" customHeight="1"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</row>
  </sheetData>
  <mergeCells count="2">
    <mergeCell ref="R5:S5"/>
    <mergeCell ref="A9:M9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4.63"/>
    <col customWidth="1" min="3" max="3" width="8.13"/>
    <col customWidth="1" min="4" max="5" width="8.63"/>
    <col customWidth="1" min="6" max="6" width="18.13"/>
    <col customWidth="1" min="7" max="7" width="7.63"/>
    <col customWidth="1" min="8" max="11" width="8.63"/>
    <col customWidth="1" min="12" max="12" width="16.38"/>
    <col customWidth="1" min="13" max="13" width="9.75"/>
    <col customWidth="1" min="14" max="16" width="8.63"/>
    <col customWidth="1" min="17" max="17" width="9.25"/>
    <col customWidth="1" min="18" max="18" width="16.38"/>
    <col customWidth="1" min="19" max="19" width="6.88"/>
    <col customWidth="1" min="20" max="26" width="8.63"/>
  </cols>
  <sheetData>
    <row r="1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ht="12.75" customHeight="1">
      <c r="D3" s="112"/>
      <c r="E3" s="112"/>
      <c r="F3" s="298"/>
      <c r="G3" s="179"/>
      <c r="H3" s="179"/>
      <c r="I3" s="179"/>
      <c r="J3" s="179"/>
      <c r="K3" s="179"/>
      <c r="L3" s="179"/>
      <c r="M3" s="179"/>
      <c r="N3" s="179"/>
      <c r="O3" s="179"/>
      <c r="P3" s="180"/>
      <c r="Q3" s="112"/>
      <c r="R3" s="112"/>
      <c r="S3" s="112"/>
      <c r="T3" s="112"/>
    </row>
    <row r="4" ht="12.75" customHeight="1">
      <c r="D4" s="112"/>
      <c r="E4" s="112"/>
      <c r="F4" s="116"/>
      <c r="G4" s="116"/>
      <c r="H4" s="117">
        <v>2024.0</v>
      </c>
      <c r="I4" s="117">
        <v>2025.0</v>
      </c>
      <c r="J4" s="117">
        <v>2026.0</v>
      </c>
      <c r="K4" s="116"/>
      <c r="L4" s="116"/>
      <c r="M4" s="116"/>
      <c r="N4" s="116"/>
      <c r="O4" s="116"/>
      <c r="P4" s="116"/>
      <c r="Q4" s="118"/>
      <c r="R4" s="118"/>
      <c r="S4" s="118"/>
      <c r="T4" s="118"/>
    </row>
    <row r="5" ht="12.75" customHeight="1">
      <c r="D5" s="112"/>
      <c r="E5" s="299"/>
      <c r="F5" s="123"/>
      <c r="G5" s="123"/>
      <c r="H5" s="124" t="s">
        <v>126</v>
      </c>
      <c r="I5" s="124" t="s">
        <v>127</v>
      </c>
      <c r="J5" s="124" t="s">
        <v>128</v>
      </c>
      <c r="K5" s="124" t="s">
        <v>129</v>
      </c>
      <c r="L5" s="124" t="s">
        <v>130</v>
      </c>
      <c r="M5" s="124" t="s">
        <v>131</v>
      </c>
      <c r="N5" s="124" t="s">
        <v>132</v>
      </c>
      <c r="O5" s="124" t="s">
        <v>133</v>
      </c>
      <c r="P5" s="124" t="s">
        <v>134</v>
      </c>
      <c r="Q5" s="124" t="s">
        <v>135</v>
      </c>
      <c r="R5" s="123"/>
      <c r="S5" s="123"/>
      <c r="T5" s="125" t="s">
        <v>136</v>
      </c>
    </row>
    <row r="6" ht="12.75" customHeight="1">
      <c r="D6" s="112"/>
      <c r="E6" s="299"/>
      <c r="F6" s="133" t="s">
        <v>141</v>
      </c>
      <c r="G6" s="134">
        <v>13080.0</v>
      </c>
      <c r="H6" s="134">
        <v>1308.0</v>
      </c>
      <c r="I6" s="134">
        <v>1308.0</v>
      </c>
      <c r="J6" s="134">
        <v>1308.0</v>
      </c>
      <c r="K6" s="134">
        <v>1308.0</v>
      </c>
      <c r="L6" s="134">
        <v>1308.0</v>
      </c>
      <c r="M6" s="134">
        <v>1308.0</v>
      </c>
      <c r="N6" s="134">
        <v>1308.0</v>
      </c>
      <c r="O6" s="134">
        <v>1308.0</v>
      </c>
      <c r="P6" s="134">
        <v>1308.0</v>
      </c>
      <c r="Q6" s="134">
        <v>1308.0</v>
      </c>
      <c r="R6" s="133"/>
      <c r="S6" s="133"/>
      <c r="T6" s="135"/>
    </row>
    <row r="7" ht="12.75" customHeight="1">
      <c r="D7" s="112"/>
      <c r="E7" s="299"/>
      <c r="F7" s="141"/>
      <c r="G7" s="141"/>
      <c r="H7" s="134">
        <v>2616.0</v>
      </c>
      <c r="I7" s="134">
        <v>2616.0</v>
      </c>
      <c r="J7" s="134">
        <v>2616.0</v>
      </c>
      <c r="K7" s="134">
        <v>2616.0</v>
      </c>
      <c r="L7" s="134">
        <v>2616.0</v>
      </c>
      <c r="M7" s="141"/>
      <c r="N7" s="141"/>
      <c r="O7" s="141"/>
      <c r="P7" s="141"/>
      <c r="Q7" s="141"/>
      <c r="R7" s="141"/>
      <c r="S7" s="141"/>
      <c r="T7" s="135"/>
    </row>
    <row r="8" ht="12.75" customHeight="1">
      <c r="D8" s="112"/>
      <c r="E8" s="299"/>
      <c r="F8" s="144" t="s">
        <v>145</v>
      </c>
      <c r="G8" s="145"/>
      <c r="H8" s="146">
        <v>4360.0</v>
      </c>
      <c r="I8" s="146">
        <v>4360.0</v>
      </c>
      <c r="J8" s="146">
        <v>4360.0</v>
      </c>
      <c r="K8" s="145"/>
      <c r="L8" s="145"/>
      <c r="M8" s="145"/>
      <c r="N8" s="145"/>
      <c r="O8" s="145"/>
      <c r="P8" s="145"/>
      <c r="Q8" s="145"/>
      <c r="R8" s="145"/>
      <c r="S8" s="145"/>
      <c r="T8" s="147"/>
    </row>
    <row r="9" ht="12.75" customHeight="1">
      <c r="D9" s="112"/>
      <c r="E9" s="112"/>
      <c r="F9" s="118"/>
      <c r="G9" s="118"/>
      <c r="H9" s="153">
        <v>0.2522</v>
      </c>
      <c r="I9" s="153">
        <v>1.0</v>
      </c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</row>
    <row r="10" ht="12.75" customHeight="1">
      <c r="D10" s="112"/>
      <c r="E10" s="299"/>
      <c r="F10" s="123"/>
      <c r="G10" s="123"/>
      <c r="H10" s="124" t="s">
        <v>156</v>
      </c>
      <c r="I10" s="124" t="s">
        <v>157</v>
      </c>
      <c r="J10" s="124" t="s">
        <v>158</v>
      </c>
      <c r="K10" s="124" t="s">
        <v>159</v>
      </c>
      <c r="L10" s="124" t="s">
        <v>160</v>
      </c>
      <c r="M10" s="124" t="s">
        <v>161</v>
      </c>
      <c r="N10" s="124" t="s">
        <v>162</v>
      </c>
      <c r="O10" s="124" t="s">
        <v>163</v>
      </c>
      <c r="P10" s="124" t="s">
        <v>164</v>
      </c>
      <c r="Q10" s="124" t="s">
        <v>165</v>
      </c>
      <c r="R10" s="124" t="s">
        <v>166</v>
      </c>
      <c r="S10" s="124" t="s">
        <v>167</v>
      </c>
      <c r="T10" s="155"/>
    </row>
    <row r="11" ht="12.75" customHeight="1">
      <c r="D11" s="112"/>
      <c r="E11" s="299"/>
      <c r="F11" s="133" t="s">
        <v>169</v>
      </c>
      <c r="G11" s="134">
        <v>4360.0</v>
      </c>
      <c r="H11" s="159">
        <v>363.0</v>
      </c>
      <c r="I11" s="159">
        <v>363.0</v>
      </c>
      <c r="J11" s="159">
        <v>363.0</v>
      </c>
      <c r="K11" s="159">
        <v>363.0</v>
      </c>
      <c r="L11" s="159">
        <v>363.0</v>
      </c>
      <c r="M11" s="159">
        <v>363.0</v>
      </c>
      <c r="N11" s="160">
        <v>363.0</v>
      </c>
      <c r="O11" s="160">
        <v>363.0</v>
      </c>
      <c r="P11" s="160">
        <v>363.0</v>
      </c>
      <c r="Q11" s="160">
        <v>363.0</v>
      </c>
      <c r="R11" s="160">
        <v>363.0</v>
      </c>
      <c r="S11" s="160">
        <v>363.0</v>
      </c>
      <c r="T11" s="161">
        <f t="shared" ref="T11:T13" si="1">SUM(H11:S11)</f>
        <v>4356</v>
      </c>
    </row>
    <row r="12" ht="12.75" customHeight="1">
      <c r="D12" s="112"/>
      <c r="E12" s="112"/>
      <c r="F12" s="112" t="s">
        <v>174</v>
      </c>
      <c r="G12" s="163" t="s">
        <v>14</v>
      </c>
      <c r="H12" s="163">
        <v>109.0</v>
      </c>
      <c r="I12" s="163">
        <v>109.0</v>
      </c>
      <c r="J12" s="163">
        <v>109.0</v>
      </c>
      <c r="K12" s="163">
        <v>109.0</v>
      </c>
      <c r="L12" s="163">
        <v>109.0</v>
      </c>
      <c r="M12" s="163">
        <v>109.0</v>
      </c>
      <c r="N12" s="164">
        <v>109.0</v>
      </c>
      <c r="O12" s="164">
        <v>109.0</v>
      </c>
      <c r="P12" s="164">
        <v>109.0</v>
      </c>
      <c r="Q12" s="164">
        <v>109.0</v>
      </c>
      <c r="R12" s="164">
        <v>109.0</v>
      </c>
      <c r="S12" s="165">
        <v>109.0</v>
      </c>
      <c r="T12" s="161">
        <f t="shared" si="1"/>
        <v>1308</v>
      </c>
      <c r="U12" s="4" t="s">
        <v>14</v>
      </c>
    </row>
    <row r="13" ht="12.75" customHeight="1">
      <c r="D13" s="112"/>
      <c r="E13" s="299"/>
      <c r="F13" s="133" t="s">
        <v>175</v>
      </c>
      <c r="G13" s="134">
        <v>4251.0</v>
      </c>
      <c r="H13" s="159">
        <v>254.0</v>
      </c>
      <c r="I13" s="159">
        <v>254.0</v>
      </c>
      <c r="J13" s="159">
        <v>254.0</v>
      </c>
      <c r="K13" s="159">
        <v>254.0</v>
      </c>
      <c r="L13" s="159">
        <v>254.0</v>
      </c>
      <c r="M13" s="159">
        <v>254.0</v>
      </c>
      <c r="N13" s="167">
        <v>254.0</v>
      </c>
      <c r="O13" s="167">
        <v>254.0</v>
      </c>
      <c r="P13" s="167">
        <v>254.0</v>
      </c>
      <c r="Q13" s="167">
        <v>254.0</v>
      </c>
      <c r="R13" s="167">
        <v>254.0</v>
      </c>
      <c r="S13" s="167">
        <v>254.0</v>
      </c>
      <c r="T13" s="161">
        <f t="shared" si="1"/>
        <v>3048</v>
      </c>
      <c r="U13" s="4" t="s">
        <v>14</v>
      </c>
    </row>
    <row r="14" ht="12.75" customHeight="1">
      <c r="D14" s="112"/>
      <c r="E14" s="299"/>
      <c r="F14" s="141"/>
      <c r="G14" s="133"/>
      <c r="H14" s="141"/>
      <c r="I14" s="141"/>
      <c r="J14" s="141"/>
      <c r="K14" s="141"/>
      <c r="L14" s="133" t="s">
        <v>178</v>
      </c>
      <c r="M14" s="134">
        <f t="shared" ref="M14:M15" si="2">SUM(H11:M11)</f>
        <v>2178</v>
      </c>
      <c r="N14" s="141"/>
      <c r="O14" s="141"/>
      <c r="P14" s="141"/>
      <c r="Q14" s="141"/>
      <c r="T14" s="135"/>
    </row>
    <row r="15" ht="12.75" customHeight="1">
      <c r="D15" s="112"/>
      <c r="E15" s="299"/>
      <c r="F15" s="173"/>
      <c r="G15" s="174">
        <v>6540.0</v>
      </c>
      <c r="H15" s="173"/>
      <c r="I15" s="173"/>
      <c r="J15" s="173"/>
      <c r="K15" s="173"/>
      <c r="L15" s="175" t="s">
        <v>179</v>
      </c>
      <c r="M15" s="176">
        <f t="shared" si="2"/>
        <v>654</v>
      </c>
      <c r="N15" s="175"/>
      <c r="O15" s="173"/>
      <c r="P15" s="173"/>
      <c r="Q15" s="173"/>
      <c r="T15" s="177"/>
    </row>
    <row r="16" ht="12.75" customHeight="1">
      <c r="D16" s="112"/>
      <c r="E16" s="300"/>
      <c r="F16" s="182"/>
      <c r="G16" s="183">
        <v>60.0</v>
      </c>
      <c r="H16" s="184"/>
      <c r="I16" s="184"/>
      <c r="J16" s="184"/>
      <c r="K16" s="184"/>
      <c r="L16" s="185" t="s">
        <v>181</v>
      </c>
      <c r="M16" s="186">
        <f>M14-M15</f>
        <v>1524</v>
      </c>
      <c r="N16" s="184"/>
      <c r="O16" s="184"/>
      <c r="P16" s="184"/>
      <c r="Q16" s="187"/>
      <c r="R16" s="182"/>
      <c r="S16" s="182"/>
      <c r="T16" s="184"/>
    </row>
    <row r="17" ht="12.75" customHeight="1">
      <c r="D17" s="112"/>
      <c r="E17" s="112"/>
    </row>
    <row r="18" ht="12.75" customHeight="1">
      <c r="D18" s="112"/>
      <c r="E18" s="300"/>
      <c r="F18" s="192">
        <v>48.65</v>
      </c>
      <c r="G18" s="193" t="s">
        <v>186</v>
      </c>
      <c r="H18" s="194" t="s">
        <v>187</v>
      </c>
      <c r="I18" s="195">
        <v>109.0</v>
      </c>
      <c r="J18" s="195">
        <v>3.3</v>
      </c>
      <c r="K18" s="195">
        <v>29.0</v>
      </c>
      <c r="L18" s="195" t="s">
        <v>188</v>
      </c>
      <c r="M18" s="196">
        <v>1410.94</v>
      </c>
      <c r="N18" s="195">
        <v>86.0</v>
      </c>
      <c r="O18" s="197">
        <v>115.0</v>
      </c>
      <c r="P18" s="198">
        <v>0.2522</v>
      </c>
      <c r="Q18" s="184"/>
      <c r="R18" s="187"/>
      <c r="S18" s="199"/>
      <c r="T18" s="184"/>
    </row>
    <row r="19" ht="12.75" customHeight="1">
      <c r="D19" s="112"/>
      <c r="E19" s="300"/>
      <c r="F19" s="184"/>
      <c r="G19" s="200"/>
      <c r="H19" s="184" t="s">
        <v>187</v>
      </c>
      <c r="I19" s="201">
        <v>109.0</v>
      </c>
      <c r="J19" s="183">
        <v>3.3</v>
      </c>
      <c r="K19" s="183">
        <v>36.0</v>
      </c>
      <c r="L19" s="202">
        <v>45839.0</v>
      </c>
      <c r="M19" s="203">
        <v>1459.59</v>
      </c>
      <c r="N19" s="183">
        <v>50.0</v>
      </c>
      <c r="O19" s="204"/>
      <c r="P19" s="198">
        <v>0.5652</v>
      </c>
      <c r="Q19" s="184"/>
      <c r="R19" s="184"/>
      <c r="S19" s="184"/>
      <c r="T19" s="184"/>
    </row>
    <row r="20" ht="12.75" customHeight="1">
      <c r="D20" s="112"/>
      <c r="E20" s="300"/>
      <c r="F20" s="198">
        <v>1.0</v>
      </c>
      <c r="G20" s="184"/>
      <c r="H20" s="184"/>
      <c r="I20" s="184"/>
      <c r="J20" s="184"/>
      <c r="K20" s="184"/>
      <c r="L20" s="184"/>
      <c r="M20" s="184"/>
      <c r="N20" s="184"/>
      <c r="O20" s="204"/>
      <c r="P20" s="184"/>
      <c r="Q20" s="184"/>
      <c r="R20" s="184"/>
      <c r="S20" s="184"/>
      <c r="T20" s="184"/>
    </row>
    <row r="21" ht="12.75" customHeight="1">
      <c r="D21" s="112"/>
      <c r="E21" s="300"/>
      <c r="F21" s="184"/>
      <c r="G21" s="193" t="s">
        <v>195</v>
      </c>
      <c r="H21" s="184" t="s">
        <v>187</v>
      </c>
      <c r="I21" s="183">
        <v>109.0</v>
      </c>
      <c r="J21" s="183">
        <v>3.3</v>
      </c>
      <c r="K21" s="183">
        <v>50.0</v>
      </c>
      <c r="L21" s="183" t="s">
        <v>196</v>
      </c>
      <c r="M21" s="192">
        <v>2140.74</v>
      </c>
      <c r="N21" s="201" t="s">
        <v>197</v>
      </c>
      <c r="O21" s="204"/>
      <c r="P21" s="198">
        <v>1.0</v>
      </c>
      <c r="Q21" s="184"/>
      <c r="R21" s="184"/>
      <c r="S21" s="184"/>
      <c r="T21" s="184"/>
    </row>
    <row r="22" ht="12.75" customHeight="1">
      <c r="D22" s="112"/>
      <c r="E22" s="112"/>
      <c r="F22" s="184"/>
      <c r="G22" s="200"/>
      <c r="H22" s="184" t="s">
        <v>187</v>
      </c>
      <c r="I22" s="201">
        <v>109.0</v>
      </c>
      <c r="J22" s="183">
        <v>3.3</v>
      </c>
      <c r="K22" s="183" t="s">
        <v>197</v>
      </c>
      <c r="L22" s="183" t="s">
        <v>200</v>
      </c>
      <c r="M22" s="205">
        <v>0.0</v>
      </c>
      <c r="N22" s="184"/>
      <c r="O22" s="206"/>
      <c r="P22" s="198">
        <v>1.0</v>
      </c>
      <c r="Q22" s="184"/>
      <c r="R22" s="184"/>
      <c r="S22" s="184"/>
      <c r="T22" s="184"/>
    </row>
    <row r="23" ht="12.75" customHeight="1">
      <c r="D23" s="112"/>
      <c r="E23" s="112"/>
      <c r="F23" s="112"/>
      <c r="G23" s="112"/>
      <c r="H23" s="112"/>
      <c r="I23" s="112"/>
      <c r="J23" s="112"/>
      <c r="K23" s="112"/>
      <c r="L23" s="188"/>
      <c r="M23" s="112"/>
      <c r="N23" s="112"/>
      <c r="O23" s="112"/>
      <c r="P23" s="169"/>
      <c r="Q23" s="112"/>
      <c r="R23" s="112"/>
      <c r="S23" s="112"/>
      <c r="T23" s="112"/>
    </row>
    <row r="24" ht="12.75" customHeight="1"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</row>
    <row r="25" ht="12.75" customHeight="1"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</row>
    <row r="26" ht="12.75" customHeight="1"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</row>
    <row r="27" ht="12.75" customHeight="1"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</row>
    <row r="28" ht="12.75" customHeight="1">
      <c r="A28" s="188"/>
      <c r="B28" s="188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ht="12.75" customHeight="1">
      <c r="A29" s="188"/>
      <c r="B29" s="188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</row>
    <row r="30" ht="12.75" customHeight="1">
      <c r="A30" s="188"/>
      <c r="B30" s="188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</row>
    <row r="31" ht="12.75" customHeight="1">
      <c r="A31" s="188"/>
      <c r="B31" s="188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</row>
    <row r="37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</row>
    <row r="38" ht="12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</row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3:P3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1.0"/>
    <col customWidth="1" min="2" max="2" width="7.75"/>
    <col customWidth="1" min="3" max="3" width="6.88"/>
    <col customWidth="1" min="4" max="4" width="19.63"/>
    <col customWidth="1" min="5" max="5" width="7.75"/>
    <col customWidth="1" min="6" max="6" width="7.13"/>
    <col customWidth="1" min="7" max="7" width="19.63"/>
    <col customWidth="1" min="8" max="8" width="7.75"/>
    <col customWidth="1" min="9" max="9" width="7.63"/>
    <col customWidth="1" min="10" max="10" width="19.63"/>
    <col customWidth="1" min="11" max="11" width="7.75"/>
    <col customWidth="1" min="12" max="12" width="7.13"/>
    <col customWidth="1" min="13" max="13" width="19.63"/>
    <col customWidth="1" min="14" max="14" width="7.75"/>
    <col customWidth="1" min="15" max="15" width="7.25"/>
    <col customWidth="1" min="16" max="16" width="19.63"/>
    <col customWidth="1" min="17" max="17" width="7.75"/>
    <col customWidth="1" min="18" max="18" width="7.0"/>
    <col customWidth="1" min="19" max="19" width="19.63"/>
    <col customWidth="1" min="20" max="20" width="7.75"/>
    <col customWidth="1" min="21" max="21" width="6.25"/>
    <col customWidth="1" min="22" max="22" width="19.63"/>
    <col customWidth="1" min="23" max="23" width="7.75"/>
    <col customWidth="1" min="24" max="24" width="7.63"/>
    <col customWidth="1" min="25" max="25" width="19.63"/>
    <col customWidth="1" min="26" max="26" width="7.75"/>
    <col customWidth="1" min="27" max="27" width="7.0"/>
    <col customWidth="1" min="28" max="28" width="19.63"/>
    <col customWidth="1" min="29" max="29" width="7.75"/>
    <col customWidth="1" min="30" max="30" width="7.13"/>
    <col customWidth="1" min="31" max="31" width="19.63"/>
    <col customWidth="1" min="32" max="33" width="7.75"/>
    <col customWidth="1" min="34" max="34" width="19.63"/>
    <col customWidth="1" min="35" max="35" width="7.75"/>
    <col customWidth="1" min="36" max="36" width="7.63"/>
    <col customWidth="1" min="37" max="37" width="19.63"/>
    <col customWidth="1" min="38" max="38" width="13.38"/>
    <col customWidth="1" min="39" max="40" width="9.13"/>
  </cols>
  <sheetData>
    <row r="1" ht="12.75" customHeight="1">
      <c r="A1" s="10" t="s">
        <v>1</v>
      </c>
      <c r="B1" s="11" t="s">
        <v>2</v>
      </c>
      <c r="C1" s="11">
        <v>44562.0</v>
      </c>
      <c r="D1" s="11" t="s">
        <v>284</v>
      </c>
      <c r="E1" s="11" t="s">
        <v>2</v>
      </c>
      <c r="F1" s="11">
        <v>44593.0</v>
      </c>
      <c r="G1" s="11" t="s">
        <v>284</v>
      </c>
      <c r="H1" s="11" t="s">
        <v>2</v>
      </c>
      <c r="I1" s="11">
        <v>44621.0</v>
      </c>
      <c r="J1" s="11" t="s">
        <v>284</v>
      </c>
      <c r="K1" s="11" t="s">
        <v>2</v>
      </c>
      <c r="L1" s="11">
        <v>44652.0</v>
      </c>
      <c r="M1" s="11" t="s">
        <v>284</v>
      </c>
      <c r="N1" s="11" t="s">
        <v>2</v>
      </c>
      <c r="O1" s="11">
        <v>44682.0</v>
      </c>
      <c r="P1" s="11" t="s">
        <v>284</v>
      </c>
      <c r="Q1" s="11" t="s">
        <v>2</v>
      </c>
      <c r="R1" s="11">
        <v>44713.0</v>
      </c>
      <c r="S1" s="11" t="s">
        <v>284</v>
      </c>
      <c r="T1" s="11" t="s">
        <v>2</v>
      </c>
      <c r="U1" s="11">
        <v>44743.0</v>
      </c>
      <c r="V1" s="11" t="s">
        <v>284</v>
      </c>
      <c r="W1" s="11" t="s">
        <v>2</v>
      </c>
      <c r="X1" s="11">
        <v>44774.0</v>
      </c>
      <c r="Y1" s="11" t="s">
        <v>284</v>
      </c>
      <c r="Z1" s="11" t="s">
        <v>2</v>
      </c>
      <c r="AA1" s="11">
        <v>44805.0</v>
      </c>
      <c r="AB1" s="11" t="s">
        <v>284</v>
      </c>
      <c r="AC1" s="11" t="s">
        <v>2</v>
      </c>
      <c r="AD1" s="11">
        <v>44835.0</v>
      </c>
      <c r="AE1" s="11" t="s">
        <v>284</v>
      </c>
      <c r="AF1" s="11" t="s">
        <v>2</v>
      </c>
      <c r="AG1" s="11">
        <v>44866.0</v>
      </c>
      <c r="AH1" s="11" t="s">
        <v>284</v>
      </c>
      <c r="AI1" s="11" t="s">
        <v>2</v>
      </c>
      <c r="AJ1" s="11">
        <v>44896.0</v>
      </c>
      <c r="AK1" s="11" t="s">
        <v>284</v>
      </c>
      <c r="AL1" s="301" t="s">
        <v>3</v>
      </c>
      <c r="AM1" s="4"/>
      <c r="AN1" s="4"/>
    </row>
    <row r="2" ht="12.75" customHeight="1">
      <c r="A2" s="16" t="s">
        <v>285</v>
      </c>
      <c r="B2" s="17"/>
      <c r="C2" s="19"/>
      <c r="D2" s="19"/>
      <c r="E2" s="17"/>
      <c r="F2" s="19"/>
      <c r="G2" s="19"/>
      <c r="H2" s="17"/>
      <c r="I2" s="19"/>
      <c r="J2" s="19"/>
      <c r="K2" s="17"/>
      <c r="L2" s="19"/>
      <c r="M2" s="19"/>
      <c r="N2" s="17"/>
      <c r="O2" s="19"/>
      <c r="P2" s="19"/>
      <c r="Q2" s="17"/>
      <c r="R2" s="19"/>
      <c r="S2" s="19"/>
      <c r="T2" s="17"/>
      <c r="U2" s="19"/>
      <c r="V2" s="19"/>
      <c r="W2" s="17"/>
      <c r="X2" s="19"/>
      <c r="Y2" s="19"/>
      <c r="Z2" s="17"/>
      <c r="AA2" s="19"/>
      <c r="AB2" s="19"/>
      <c r="AC2" s="17"/>
      <c r="AD2" s="19"/>
      <c r="AE2" s="19"/>
      <c r="AF2" s="17"/>
      <c r="AG2" s="19"/>
      <c r="AH2" s="19"/>
      <c r="AI2" s="17"/>
      <c r="AJ2" s="19"/>
      <c r="AK2" s="19"/>
      <c r="AL2" s="302"/>
      <c r="AM2" s="4"/>
      <c r="AN2" s="4"/>
    </row>
    <row r="3" ht="12.75" customHeight="1">
      <c r="A3" s="24" t="s">
        <v>286</v>
      </c>
      <c r="B3" s="25">
        <f t="shared" ref="B3:B7" si="1">IFERROR(C3/C$8,0)</f>
        <v>0</v>
      </c>
      <c r="C3" s="26"/>
      <c r="D3" s="26"/>
      <c r="E3" s="25">
        <f t="shared" ref="E3:E7" si="2">IFERROR(F3/F$8,0)</f>
        <v>0</v>
      </c>
      <c r="F3" s="26"/>
      <c r="G3" s="26"/>
      <c r="H3" s="25">
        <f t="shared" ref="H3:H7" si="3">IFERROR(I3/I$8,0)</f>
        <v>0</v>
      </c>
      <c r="I3" s="26"/>
      <c r="J3" s="26"/>
      <c r="K3" s="25">
        <f t="shared" ref="K3:K7" si="4">IFERROR(L3/L$8,0)</f>
        <v>0</v>
      </c>
      <c r="L3" s="26"/>
      <c r="M3" s="26"/>
      <c r="N3" s="25">
        <f t="shared" ref="N3:N7" si="5">IFERROR(O3/O$8,0)</f>
        <v>0</v>
      </c>
      <c r="O3" s="26"/>
      <c r="P3" s="26"/>
      <c r="Q3" s="25">
        <f t="shared" ref="Q3:Q7" si="6">IFERROR(R3/R$8,0)</f>
        <v>0</v>
      </c>
      <c r="R3" s="26"/>
      <c r="S3" s="26"/>
      <c r="T3" s="25">
        <f t="shared" ref="T3:T7" si="7">IFERROR(U3/U$8,0)</f>
        <v>0</v>
      </c>
      <c r="U3" s="26"/>
      <c r="V3" s="26"/>
      <c r="W3" s="25">
        <f t="shared" ref="W3:W7" si="8">IFERROR(X3/X$8,0)</f>
        <v>0</v>
      </c>
      <c r="X3" s="26"/>
      <c r="Y3" s="26"/>
      <c r="Z3" s="25">
        <f t="shared" ref="Z3:Z7" si="9">IFERROR(AA3/AA$8,0)</f>
        <v>0</v>
      </c>
      <c r="AA3" s="26"/>
      <c r="AB3" s="26"/>
      <c r="AC3" s="25">
        <f t="shared" ref="AC3:AC7" si="10">IFERROR(AD3/AD$8,0)</f>
        <v>0</v>
      </c>
      <c r="AD3" s="26"/>
      <c r="AE3" s="26"/>
      <c r="AF3" s="25">
        <f t="shared" ref="AF3:AF7" si="11">IFERROR(AG3/AG$8,0)</f>
        <v>0</v>
      </c>
      <c r="AG3" s="26"/>
      <c r="AH3" s="26"/>
      <c r="AI3" s="25">
        <f t="shared" ref="AI3:AI7" si="12">IFERROR(AJ3/AJ$8,0)</f>
        <v>0</v>
      </c>
      <c r="AJ3" s="26"/>
      <c r="AK3" s="26"/>
      <c r="AL3" s="54">
        <f t="shared" ref="AL3:AL7" si="13">C3+F3+I3+L3+O3+R3+U3+X3+AA3+AD3+AG3+AJ3</f>
        <v>0</v>
      </c>
      <c r="AM3" s="4"/>
      <c r="AN3" s="4"/>
    </row>
    <row r="4" ht="12.75" customHeight="1">
      <c r="A4" s="24" t="s">
        <v>287</v>
      </c>
      <c r="B4" s="25">
        <f t="shared" si="1"/>
        <v>0</v>
      </c>
      <c r="C4" s="26"/>
      <c r="D4" s="26"/>
      <c r="E4" s="25">
        <f t="shared" si="2"/>
        <v>0</v>
      </c>
      <c r="F4" s="26"/>
      <c r="G4" s="26"/>
      <c r="H4" s="25">
        <f t="shared" si="3"/>
        <v>0</v>
      </c>
      <c r="I4" s="26"/>
      <c r="J4" s="26"/>
      <c r="K4" s="25">
        <f t="shared" si="4"/>
        <v>0</v>
      </c>
      <c r="L4" s="26"/>
      <c r="M4" s="26"/>
      <c r="N4" s="25">
        <f t="shared" si="5"/>
        <v>0</v>
      </c>
      <c r="O4" s="26"/>
      <c r="P4" s="26"/>
      <c r="Q4" s="25">
        <f t="shared" si="6"/>
        <v>0</v>
      </c>
      <c r="R4" s="26"/>
      <c r="S4" s="26"/>
      <c r="T4" s="25">
        <f t="shared" si="7"/>
        <v>0</v>
      </c>
      <c r="U4" s="26"/>
      <c r="V4" s="26"/>
      <c r="W4" s="25">
        <f t="shared" si="8"/>
        <v>0</v>
      </c>
      <c r="X4" s="26"/>
      <c r="Y4" s="26"/>
      <c r="Z4" s="25">
        <f t="shared" si="9"/>
        <v>0</v>
      </c>
      <c r="AA4" s="26"/>
      <c r="AB4" s="26"/>
      <c r="AC4" s="25">
        <f t="shared" si="10"/>
        <v>0</v>
      </c>
      <c r="AD4" s="26"/>
      <c r="AE4" s="26"/>
      <c r="AF4" s="25">
        <f t="shared" si="11"/>
        <v>0</v>
      </c>
      <c r="AG4" s="26"/>
      <c r="AH4" s="26"/>
      <c r="AI4" s="25">
        <f t="shared" si="12"/>
        <v>0</v>
      </c>
      <c r="AJ4" s="26"/>
      <c r="AK4" s="26"/>
      <c r="AL4" s="54">
        <f t="shared" si="13"/>
        <v>0</v>
      </c>
      <c r="AM4" s="4"/>
      <c r="AN4" s="4"/>
    </row>
    <row r="5" ht="12.75" customHeight="1">
      <c r="A5" s="24" t="s">
        <v>288</v>
      </c>
      <c r="B5" s="25">
        <f t="shared" si="1"/>
        <v>0</v>
      </c>
      <c r="C5" s="26"/>
      <c r="D5" s="26"/>
      <c r="E5" s="25">
        <f t="shared" si="2"/>
        <v>0</v>
      </c>
      <c r="F5" s="26"/>
      <c r="G5" s="26"/>
      <c r="H5" s="25">
        <f t="shared" si="3"/>
        <v>0</v>
      </c>
      <c r="I5" s="26"/>
      <c r="J5" s="26"/>
      <c r="K5" s="25">
        <f t="shared" si="4"/>
        <v>0</v>
      </c>
      <c r="L5" s="26"/>
      <c r="M5" s="26"/>
      <c r="N5" s="25">
        <f t="shared" si="5"/>
        <v>0</v>
      </c>
      <c r="O5" s="26"/>
      <c r="P5" s="26"/>
      <c r="Q5" s="25">
        <f t="shared" si="6"/>
        <v>0</v>
      </c>
      <c r="R5" s="26"/>
      <c r="S5" s="26"/>
      <c r="T5" s="25">
        <f t="shared" si="7"/>
        <v>0</v>
      </c>
      <c r="U5" s="26"/>
      <c r="V5" s="26"/>
      <c r="W5" s="25">
        <f t="shared" si="8"/>
        <v>0</v>
      </c>
      <c r="X5" s="26"/>
      <c r="Y5" s="26"/>
      <c r="Z5" s="25">
        <f t="shared" si="9"/>
        <v>0</v>
      </c>
      <c r="AA5" s="26"/>
      <c r="AB5" s="26"/>
      <c r="AC5" s="25">
        <f t="shared" si="10"/>
        <v>0</v>
      </c>
      <c r="AD5" s="26"/>
      <c r="AE5" s="26"/>
      <c r="AF5" s="25">
        <f t="shared" si="11"/>
        <v>0</v>
      </c>
      <c r="AG5" s="26"/>
      <c r="AH5" s="26"/>
      <c r="AI5" s="25">
        <f t="shared" si="12"/>
        <v>0</v>
      </c>
      <c r="AJ5" s="26"/>
      <c r="AK5" s="26"/>
      <c r="AL5" s="54">
        <f t="shared" si="13"/>
        <v>0</v>
      </c>
      <c r="AM5" s="4"/>
      <c r="AN5" s="4"/>
    </row>
    <row r="6" ht="12.75" customHeight="1">
      <c r="A6" s="24" t="s">
        <v>93</v>
      </c>
      <c r="B6" s="25">
        <f t="shared" si="1"/>
        <v>0</v>
      </c>
      <c r="C6" s="26"/>
      <c r="D6" s="26"/>
      <c r="E6" s="25">
        <f t="shared" si="2"/>
        <v>0</v>
      </c>
      <c r="F6" s="26"/>
      <c r="G6" s="26"/>
      <c r="H6" s="25">
        <f t="shared" si="3"/>
        <v>0</v>
      </c>
      <c r="I6" s="26"/>
      <c r="J6" s="26"/>
      <c r="K6" s="25">
        <f t="shared" si="4"/>
        <v>0</v>
      </c>
      <c r="L6" s="26"/>
      <c r="M6" s="26"/>
      <c r="N6" s="25">
        <f t="shared" si="5"/>
        <v>0</v>
      </c>
      <c r="O6" s="26"/>
      <c r="P6" s="26"/>
      <c r="Q6" s="25">
        <f t="shared" si="6"/>
        <v>0</v>
      </c>
      <c r="R6" s="26"/>
      <c r="S6" s="26"/>
      <c r="T6" s="25">
        <f t="shared" si="7"/>
        <v>0</v>
      </c>
      <c r="U6" s="26"/>
      <c r="V6" s="26"/>
      <c r="W6" s="25">
        <f t="shared" si="8"/>
        <v>0</v>
      </c>
      <c r="X6" s="26"/>
      <c r="Y6" s="26"/>
      <c r="Z6" s="25">
        <f t="shared" si="9"/>
        <v>0</v>
      </c>
      <c r="AA6" s="26"/>
      <c r="AB6" s="26"/>
      <c r="AC6" s="25">
        <f t="shared" si="10"/>
        <v>0</v>
      </c>
      <c r="AD6" s="26"/>
      <c r="AE6" s="26"/>
      <c r="AF6" s="25">
        <f t="shared" si="11"/>
        <v>0</v>
      </c>
      <c r="AG6" s="26"/>
      <c r="AH6" s="26"/>
      <c r="AI6" s="25">
        <f t="shared" si="12"/>
        <v>0</v>
      </c>
      <c r="AJ6" s="26"/>
      <c r="AK6" s="26"/>
      <c r="AL6" s="54">
        <f t="shared" si="13"/>
        <v>0</v>
      </c>
      <c r="AM6" s="4"/>
      <c r="AN6" s="4"/>
    </row>
    <row r="7" ht="12.75" customHeight="1">
      <c r="A7" s="24"/>
      <c r="B7" s="25">
        <f t="shared" si="1"/>
        <v>0</v>
      </c>
      <c r="C7" s="303"/>
      <c r="D7" s="303"/>
      <c r="E7" s="25">
        <f t="shared" si="2"/>
        <v>0</v>
      </c>
      <c r="F7" s="303"/>
      <c r="G7" s="303"/>
      <c r="H7" s="25">
        <f t="shared" si="3"/>
        <v>0</v>
      </c>
      <c r="I7" s="303"/>
      <c r="J7" s="303"/>
      <c r="K7" s="25">
        <f t="shared" si="4"/>
        <v>0</v>
      </c>
      <c r="L7" s="303"/>
      <c r="M7" s="303"/>
      <c r="N7" s="25">
        <f t="shared" si="5"/>
        <v>0</v>
      </c>
      <c r="O7" s="303"/>
      <c r="P7" s="303"/>
      <c r="Q7" s="25">
        <f t="shared" si="6"/>
        <v>0</v>
      </c>
      <c r="R7" s="303"/>
      <c r="S7" s="303"/>
      <c r="T7" s="25">
        <f t="shared" si="7"/>
        <v>0</v>
      </c>
      <c r="U7" s="303"/>
      <c r="V7" s="303"/>
      <c r="W7" s="25">
        <f t="shared" si="8"/>
        <v>0</v>
      </c>
      <c r="X7" s="303"/>
      <c r="Y7" s="303"/>
      <c r="Z7" s="25">
        <f t="shared" si="9"/>
        <v>0</v>
      </c>
      <c r="AA7" s="303"/>
      <c r="AB7" s="303"/>
      <c r="AC7" s="25">
        <f t="shared" si="10"/>
        <v>0</v>
      </c>
      <c r="AD7" s="303"/>
      <c r="AE7" s="303"/>
      <c r="AF7" s="25">
        <f t="shared" si="11"/>
        <v>0</v>
      </c>
      <c r="AG7" s="303"/>
      <c r="AH7" s="303"/>
      <c r="AI7" s="25">
        <f t="shared" si="12"/>
        <v>0</v>
      </c>
      <c r="AJ7" s="303"/>
      <c r="AK7" s="303"/>
      <c r="AL7" s="54">
        <f t="shared" si="13"/>
        <v>0</v>
      </c>
      <c r="AM7" s="4"/>
      <c r="AN7" s="4"/>
    </row>
    <row r="8" ht="12.75" customHeight="1">
      <c r="A8" s="72" t="s">
        <v>289</v>
      </c>
      <c r="B8" s="31">
        <v>1.0</v>
      </c>
      <c r="C8" s="45">
        <f>SUM(C3:C7)</f>
        <v>0</v>
      </c>
      <c r="D8" s="45"/>
      <c r="E8" s="31">
        <v>1.0</v>
      </c>
      <c r="F8" s="45">
        <f>SUM(F3:F7)</f>
        <v>0</v>
      </c>
      <c r="G8" s="45"/>
      <c r="H8" s="31">
        <v>1.0</v>
      </c>
      <c r="I8" s="45">
        <f>SUM(I3:I7)</f>
        <v>0</v>
      </c>
      <c r="J8" s="45"/>
      <c r="K8" s="31">
        <v>1.0</v>
      </c>
      <c r="L8" s="45">
        <f>SUM(L3:L7)</f>
        <v>0</v>
      </c>
      <c r="M8" s="45"/>
      <c r="N8" s="31">
        <v>1.0</v>
      </c>
      <c r="O8" s="45">
        <f>SUM(O3:O7)</f>
        <v>0</v>
      </c>
      <c r="P8" s="45"/>
      <c r="Q8" s="31">
        <v>1.0</v>
      </c>
      <c r="R8" s="45">
        <f>SUM(R3:R7)</f>
        <v>0</v>
      </c>
      <c r="S8" s="45"/>
      <c r="T8" s="31">
        <v>1.0</v>
      </c>
      <c r="U8" s="45">
        <f>SUM(U3:U7)</f>
        <v>0</v>
      </c>
      <c r="V8" s="45"/>
      <c r="W8" s="31">
        <v>1.0</v>
      </c>
      <c r="X8" s="45">
        <f>SUM(X3:X7)</f>
        <v>0</v>
      </c>
      <c r="Y8" s="45"/>
      <c r="Z8" s="31">
        <v>1.0</v>
      </c>
      <c r="AA8" s="45">
        <f>SUM(AA3:AA7)</f>
        <v>0</v>
      </c>
      <c r="AB8" s="45"/>
      <c r="AC8" s="31">
        <v>1.0</v>
      </c>
      <c r="AD8" s="45">
        <f>SUM(AD3:AD7)</f>
        <v>0</v>
      </c>
      <c r="AE8" s="45"/>
      <c r="AF8" s="31">
        <v>1.0</v>
      </c>
      <c r="AG8" s="45">
        <f>SUM(AG3:AG7)</f>
        <v>0</v>
      </c>
      <c r="AH8" s="45"/>
      <c r="AI8" s="31">
        <v>1.0</v>
      </c>
      <c r="AJ8" s="45">
        <f>SUM(AJ3:AJ7)</f>
        <v>0</v>
      </c>
      <c r="AK8" s="45"/>
      <c r="AL8" s="45">
        <f>SUM(AL3:AL7)</f>
        <v>0</v>
      </c>
      <c r="AM8" s="4"/>
      <c r="AN8" s="4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ht="12.75" customHeight="1">
      <c r="A10" s="72" t="s">
        <v>290</v>
      </c>
      <c r="B10" s="78">
        <f t="shared" ref="B10:B28" si="14">IFERROR(C10/C$8,0)</f>
        <v>0</v>
      </c>
      <c r="C10" s="45">
        <f>SUM(C11:C17)</f>
        <v>0</v>
      </c>
      <c r="D10" s="45"/>
      <c r="E10" s="78">
        <f t="shared" ref="E10:E28" si="15">IFERROR(F10/F$8,0)</f>
        <v>0</v>
      </c>
      <c r="F10" s="45">
        <f>SUM(F11:F17)</f>
        <v>0</v>
      </c>
      <c r="G10" s="45"/>
      <c r="H10" s="78">
        <f t="shared" ref="H10:H28" si="16">IFERROR(I10/I$8,0)</f>
        <v>0</v>
      </c>
      <c r="I10" s="45">
        <f>SUM(I11:I17)</f>
        <v>0</v>
      </c>
      <c r="J10" s="45"/>
      <c r="K10" s="78">
        <f t="shared" ref="K10:K28" si="17">IFERROR(L10/L$8,0)</f>
        <v>0</v>
      </c>
      <c r="L10" s="45">
        <f>SUM(L11:L17)</f>
        <v>0</v>
      </c>
      <c r="M10" s="45"/>
      <c r="N10" s="78">
        <f t="shared" ref="N10:N28" si="18">IFERROR(O10/O$8,0)</f>
        <v>0</v>
      </c>
      <c r="O10" s="45">
        <f>SUM(O11:O17)</f>
        <v>0</v>
      </c>
      <c r="P10" s="45"/>
      <c r="Q10" s="78">
        <f t="shared" ref="Q10:Q28" si="19">IFERROR(R10/R$8,0)</f>
        <v>0</v>
      </c>
      <c r="R10" s="45">
        <f>SUM(R11:R17)</f>
        <v>0</v>
      </c>
      <c r="S10" s="45"/>
      <c r="T10" s="78">
        <f t="shared" ref="T10:T28" si="20">IFERROR(U10/U$8,0)</f>
        <v>0</v>
      </c>
      <c r="U10" s="45">
        <f>SUM(U11:U17)</f>
        <v>0</v>
      </c>
      <c r="V10" s="45"/>
      <c r="W10" s="78">
        <f t="shared" ref="W10:W28" si="21">IFERROR(X10/X$8,0)</f>
        <v>0</v>
      </c>
      <c r="X10" s="45">
        <f>SUM(X11:X17)</f>
        <v>0</v>
      </c>
      <c r="Y10" s="45"/>
      <c r="Z10" s="78">
        <f t="shared" ref="Z10:Z28" si="22">IFERROR(AA10/AA$8,0)</f>
        <v>0</v>
      </c>
      <c r="AA10" s="45">
        <f>SUM(AA11:AA17)</f>
        <v>0</v>
      </c>
      <c r="AB10" s="45"/>
      <c r="AC10" s="78">
        <f t="shared" ref="AC10:AC28" si="23">IFERROR(AD10/AD$8,0)</f>
        <v>0</v>
      </c>
      <c r="AD10" s="45">
        <f>SUM(AD11:AD17)</f>
        <v>0</v>
      </c>
      <c r="AE10" s="45"/>
      <c r="AF10" s="78">
        <f t="shared" ref="AF10:AF28" si="24">IFERROR(AG10/AG$8,0)</f>
        <v>0</v>
      </c>
      <c r="AG10" s="45">
        <f>SUM(AG11:AG17)</f>
        <v>0</v>
      </c>
      <c r="AH10" s="45"/>
      <c r="AI10" s="78">
        <f t="shared" ref="AI10:AI28" si="25">IFERROR(AJ10/AJ$8,0)</f>
        <v>0</v>
      </c>
      <c r="AJ10" s="45">
        <f>SUM(AJ11:AJ17)</f>
        <v>0</v>
      </c>
      <c r="AK10" s="45"/>
      <c r="AL10" s="45">
        <f t="shared" ref="AL10:AL15" si="26">C10+F10+I10+L10+O10+R10+U10+X10+AA10+AD10+AG10+AJ10</f>
        <v>0</v>
      </c>
      <c r="AM10" s="4"/>
      <c r="AN10" s="4"/>
    </row>
    <row r="11" ht="12.75" customHeight="1">
      <c r="A11" s="24" t="s">
        <v>42</v>
      </c>
      <c r="B11" s="25">
        <f t="shared" si="14"/>
        <v>0</v>
      </c>
      <c r="C11" s="34"/>
      <c r="D11" s="34"/>
      <c r="E11" s="25">
        <f t="shared" si="15"/>
        <v>0</v>
      </c>
      <c r="F11" s="34"/>
      <c r="G11" s="34"/>
      <c r="H11" s="25">
        <f t="shared" si="16"/>
        <v>0</v>
      </c>
      <c r="I11" s="34"/>
      <c r="J11" s="34"/>
      <c r="K11" s="25">
        <f t="shared" si="17"/>
        <v>0</v>
      </c>
      <c r="L11" s="34"/>
      <c r="M11" s="34"/>
      <c r="N11" s="25">
        <f t="shared" si="18"/>
        <v>0</v>
      </c>
      <c r="O11" s="34"/>
      <c r="P11" s="34"/>
      <c r="Q11" s="25">
        <f t="shared" si="19"/>
        <v>0</v>
      </c>
      <c r="R11" s="34"/>
      <c r="S11" s="34"/>
      <c r="T11" s="25">
        <f t="shared" si="20"/>
        <v>0</v>
      </c>
      <c r="U11" s="34"/>
      <c r="V11" s="34"/>
      <c r="W11" s="25">
        <f t="shared" si="21"/>
        <v>0</v>
      </c>
      <c r="X11" s="34"/>
      <c r="Y11" s="34"/>
      <c r="Z11" s="25">
        <f t="shared" si="22"/>
        <v>0</v>
      </c>
      <c r="AA11" s="34"/>
      <c r="AB11" s="34"/>
      <c r="AC11" s="25">
        <f t="shared" si="23"/>
        <v>0</v>
      </c>
      <c r="AD11" s="34"/>
      <c r="AE11" s="34"/>
      <c r="AF11" s="25">
        <f t="shared" si="24"/>
        <v>0</v>
      </c>
      <c r="AG11" s="34"/>
      <c r="AH11" s="34"/>
      <c r="AI11" s="25">
        <f t="shared" si="25"/>
        <v>0</v>
      </c>
      <c r="AJ11" s="34"/>
      <c r="AK11" s="34"/>
      <c r="AL11" s="54">
        <f t="shared" si="26"/>
        <v>0</v>
      </c>
      <c r="AM11" s="4"/>
      <c r="AN11" s="4"/>
    </row>
    <row r="12" ht="12.75" customHeight="1">
      <c r="A12" s="24" t="s">
        <v>291</v>
      </c>
      <c r="B12" s="25">
        <f t="shared" si="14"/>
        <v>0</v>
      </c>
      <c r="C12" s="26"/>
      <c r="D12" s="26"/>
      <c r="E12" s="25">
        <f t="shared" si="15"/>
        <v>0</v>
      </c>
      <c r="F12" s="26"/>
      <c r="G12" s="26"/>
      <c r="H12" s="25">
        <f t="shared" si="16"/>
        <v>0</v>
      </c>
      <c r="I12" s="26"/>
      <c r="J12" s="26"/>
      <c r="K12" s="25">
        <f t="shared" si="17"/>
        <v>0</v>
      </c>
      <c r="L12" s="26"/>
      <c r="M12" s="26"/>
      <c r="N12" s="25">
        <f t="shared" si="18"/>
        <v>0</v>
      </c>
      <c r="O12" s="26"/>
      <c r="P12" s="26"/>
      <c r="Q12" s="25">
        <f t="shared" si="19"/>
        <v>0</v>
      </c>
      <c r="R12" s="26"/>
      <c r="S12" s="26"/>
      <c r="T12" s="25">
        <f t="shared" si="20"/>
        <v>0</v>
      </c>
      <c r="U12" s="26"/>
      <c r="V12" s="26"/>
      <c r="W12" s="25">
        <f t="shared" si="21"/>
        <v>0</v>
      </c>
      <c r="X12" s="26"/>
      <c r="Y12" s="26"/>
      <c r="Z12" s="25">
        <f t="shared" si="22"/>
        <v>0</v>
      </c>
      <c r="AA12" s="26"/>
      <c r="AB12" s="26"/>
      <c r="AC12" s="25">
        <f t="shared" si="23"/>
        <v>0</v>
      </c>
      <c r="AD12" s="26"/>
      <c r="AE12" s="26"/>
      <c r="AF12" s="25">
        <f t="shared" si="24"/>
        <v>0</v>
      </c>
      <c r="AG12" s="26"/>
      <c r="AH12" s="26"/>
      <c r="AI12" s="25">
        <f t="shared" si="25"/>
        <v>0</v>
      </c>
      <c r="AJ12" s="26"/>
      <c r="AK12" s="26"/>
      <c r="AL12" s="54">
        <f t="shared" si="26"/>
        <v>0</v>
      </c>
      <c r="AM12" s="4"/>
      <c r="AN12" s="4"/>
    </row>
    <row r="13" ht="12.75" customHeight="1">
      <c r="A13" s="4" t="s">
        <v>292</v>
      </c>
      <c r="B13" s="25">
        <f t="shared" si="14"/>
        <v>0</v>
      </c>
      <c r="C13" s="26"/>
      <c r="D13" s="26"/>
      <c r="E13" s="25">
        <f t="shared" si="15"/>
        <v>0</v>
      </c>
      <c r="F13" s="26"/>
      <c r="G13" s="26"/>
      <c r="H13" s="25">
        <f t="shared" si="16"/>
        <v>0</v>
      </c>
      <c r="I13" s="26"/>
      <c r="J13" s="26"/>
      <c r="K13" s="25">
        <f t="shared" si="17"/>
        <v>0</v>
      </c>
      <c r="L13" s="26"/>
      <c r="M13" s="26"/>
      <c r="N13" s="25">
        <f t="shared" si="18"/>
        <v>0</v>
      </c>
      <c r="O13" s="26"/>
      <c r="P13" s="26"/>
      <c r="Q13" s="25">
        <f t="shared" si="19"/>
        <v>0</v>
      </c>
      <c r="R13" s="26"/>
      <c r="S13" s="26"/>
      <c r="T13" s="25">
        <f t="shared" si="20"/>
        <v>0</v>
      </c>
      <c r="U13" s="26"/>
      <c r="V13" s="26"/>
      <c r="W13" s="25">
        <f t="shared" si="21"/>
        <v>0</v>
      </c>
      <c r="X13" s="26"/>
      <c r="Y13" s="26"/>
      <c r="Z13" s="25">
        <f t="shared" si="22"/>
        <v>0</v>
      </c>
      <c r="AA13" s="26"/>
      <c r="AB13" s="26"/>
      <c r="AC13" s="25">
        <f t="shared" si="23"/>
        <v>0</v>
      </c>
      <c r="AD13" s="26"/>
      <c r="AE13" s="26"/>
      <c r="AF13" s="25">
        <f t="shared" si="24"/>
        <v>0</v>
      </c>
      <c r="AG13" s="26"/>
      <c r="AH13" s="26"/>
      <c r="AI13" s="25">
        <f t="shared" si="25"/>
        <v>0</v>
      </c>
      <c r="AJ13" s="26"/>
      <c r="AK13" s="26"/>
      <c r="AL13" s="54">
        <f t="shared" si="26"/>
        <v>0</v>
      </c>
      <c r="AM13" s="4"/>
      <c r="AN13" s="4"/>
    </row>
    <row r="14" ht="12.75" customHeight="1">
      <c r="A14" s="24" t="s">
        <v>293</v>
      </c>
      <c r="B14" s="25">
        <f t="shared" si="14"/>
        <v>0</v>
      </c>
      <c r="C14" s="26"/>
      <c r="D14" s="26"/>
      <c r="E14" s="25">
        <f t="shared" si="15"/>
        <v>0</v>
      </c>
      <c r="F14" s="26"/>
      <c r="G14" s="26"/>
      <c r="H14" s="25">
        <f t="shared" si="16"/>
        <v>0</v>
      </c>
      <c r="I14" s="26"/>
      <c r="J14" s="26"/>
      <c r="K14" s="25">
        <f t="shared" si="17"/>
        <v>0</v>
      </c>
      <c r="L14" s="26"/>
      <c r="M14" s="26"/>
      <c r="N14" s="25">
        <f t="shared" si="18"/>
        <v>0</v>
      </c>
      <c r="O14" s="26"/>
      <c r="P14" s="26"/>
      <c r="Q14" s="25">
        <f t="shared" si="19"/>
        <v>0</v>
      </c>
      <c r="R14" s="26"/>
      <c r="S14" s="26"/>
      <c r="T14" s="25">
        <f t="shared" si="20"/>
        <v>0</v>
      </c>
      <c r="U14" s="26"/>
      <c r="V14" s="26"/>
      <c r="W14" s="25">
        <f t="shared" si="21"/>
        <v>0</v>
      </c>
      <c r="X14" s="26"/>
      <c r="Y14" s="26"/>
      <c r="Z14" s="25">
        <f t="shared" si="22"/>
        <v>0</v>
      </c>
      <c r="AA14" s="26"/>
      <c r="AB14" s="26"/>
      <c r="AC14" s="25">
        <f t="shared" si="23"/>
        <v>0</v>
      </c>
      <c r="AD14" s="26"/>
      <c r="AE14" s="26"/>
      <c r="AF14" s="25">
        <f t="shared" si="24"/>
        <v>0</v>
      </c>
      <c r="AG14" s="26"/>
      <c r="AH14" s="26"/>
      <c r="AI14" s="25">
        <f t="shared" si="25"/>
        <v>0</v>
      </c>
      <c r="AJ14" s="26"/>
      <c r="AK14" s="26"/>
      <c r="AL14" s="54">
        <f t="shared" si="26"/>
        <v>0</v>
      </c>
      <c r="AM14" s="4"/>
      <c r="AN14" s="4"/>
    </row>
    <row r="15" ht="12.75" customHeight="1">
      <c r="A15" s="24" t="s">
        <v>93</v>
      </c>
      <c r="B15" s="25">
        <f t="shared" si="14"/>
        <v>0</v>
      </c>
      <c r="C15" s="26"/>
      <c r="D15" s="26"/>
      <c r="E15" s="25">
        <f t="shared" si="15"/>
        <v>0</v>
      </c>
      <c r="F15" s="26"/>
      <c r="G15" s="26"/>
      <c r="H15" s="25">
        <f t="shared" si="16"/>
        <v>0</v>
      </c>
      <c r="I15" s="26"/>
      <c r="J15" s="26"/>
      <c r="K15" s="25">
        <f t="shared" si="17"/>
        <v>0</v>
      </c>
      <c r="L15" s="26"/>
      <c r="M15" s="26"/>
      <c r="N15" s="25">
        <f t="shared" si="18"/>
        <v>0</v>
      </c>
      <c r="O15" s="26"/>
      <c r="P15" s="26"/>
      <c r="Q15" s="25">
        <f t="shared" si="19"/>
        <v>0</v>
      </c>
      <c r="R15" s="26"/>
      <c r="S15" s="26"/>
      <c r="T15" s="25">
        <f t="shared" si="20"/>
        <v>0</v>
      </c>
      <c r="U15" s="26"/>
      <c r="V15" s="26"/>
      <c r="W15" s="25">
        <f t="shared" si="21"/>
        <v>0</v>
      </c>
      <c r="X15" s="26"/>
      <c r="Y15" s="26"/>
      <c r="Z15" s="25">
        <f t="shared" si="22"/>
        <v>0</v>
      </c>
      <c r="AA15" s="26"/>
      <c r="AB15" s="26"/>
      <c r="AC15" s="25">
        <f t="shared" si="23"/>
        <v>0</v>
      </c>
      <c r="AD15" s="26"/>
      <c r="AE15" s="26"/>
      <c r="AF15" s="25">
        <f t="shared" si="24"/>
        <v>0</v>
      </c>
      <c r="AG15" s="26"/>
      <c r="AH15" s="26"/>
      <c r="AI15" s="25">
        <f t="shared" si="25"/>
        <v>0</v>
      </c>
      <c r="AJ15" s="26"/>
      <c r="AK15" s="26"/>
      <c r="AL15" s="54">
        <f t="shared" si="26"/>
        <v>0</v>
      </c>
      <c r="AM15" s="4"/>
      <c r="AN15" s="4"/>
    </row>
    <row r="16" ht="12.75" customHeight="1">
      <c r="A16" s="24"/>
      <c r="B16" s="25">
        <f t="shared" si="14"/>
        <v>0</v>
      </c>
      <c r="C16" s="26"/>
      <c r="D16" s="26"/>
      <c r="E16" s="25">
        <f t="shared" si="15"/>
        <v>0</v>
      </c>
      <c r="F16" s="26"/>
      <c r="G16" s="26"/>
      <c r="H16" s="25">
        <f t="shared" si="16"/>
        <v>0</v>
      </c>
      <c r="I16" s="26"/>
      <c r="J16" s="26"/>
      <c r="K16" s="25">
        <f t="shared" si="17"/>
        <v>0</v>
      </c>
      <c r="L16" s="26"/>
      <c r="M16" s="26"/>
      <c r="N16" s="25">
        <f t="shared" si="18"/>
        <v>0</v>
      </c>
      <c r="O16" s="26"/>
      <c r="P16" s="26"/>
      <c r="Q16" s="25">
        <f t="shared" si="19"/>
        <v>0</v>
      </c>
      <c r="R16" s="26"/>
      <c r="S16" s="26"/>
      <c r="T16" s="25">
        <f t="shared" si="20"/>
        <v>0</v>
      </c>
      <c r="U16" s="26"/>
      <c r="V16" s="26"/>
      <c r="W16" s="25">
        <f t="shared" si="21"/>
        <v>0</v>
      </c>
      <c r="X16" s="26"/>
      <c r="Y16" s="26"/>
      <c r="Z16" s="25">
        <f t="shared" si="22"/>
        <v>0</v>
      </c>
      <c r="AA16" s="26"/>
      <c r="AB16" s="26"/>
      <c r="AC16" s="25">
        <f t="shared" si="23"/>
        <v>0</v>
      </c>
      <c r="AD16" s="26"/>
      <c r="AE16" s="26"/>
      <c r="AF16" s="25">
        <f t="shared" si="24"/>
        <v>0</v>
      </c>
      <c r="AG16" s="26"/>
      <c r="AH16" s="26"/>
      <c r="AI16" s="25">
        <f t="shared" si="25"/>
        <v>0</v>
      </c>
      <c r="AJ16" s="26"/>
      <c r="AK16" s="26"/>
      <c r="AL16" s="54"/>
      <c r="AM16" s="4"/>
      <c r="AN16" s="4"/>
    </row>
    <row r="17" ht="12.75" customHeight="1">
      <c r="A17" s="24"/>
      <c r="B17" s="25">
        <f t="shared" si="14"/>
        <v>0</v>
      </c>
      <c r="C17" s="26"/>
      <c r="D17" s="26"/>
      <c r="E17" s="25">
        <f t="shared" si="15"/>
        <v>0</v>
      </c>
      <c r="F17" s="26"/>
      <c r="G17" s="26"/>
      <c r="H17" s="25">
        <f t="shared" si="16"/>
        <v>0</v>
      </c>
      <c r="I17" s="26"/>
      <c r="J17" s="26"/>
      <c r="K17" s="25">
        <f t="shared" si="17"/>
        <v>0</v>
      </c>
      <c r="L17" s="26"/>
      <c r="M17" s="26"/>
      <c r="N17" s="25">
        <f t="shared" si="18"/>
        <v>0</v>
      </c>
      <c r="O17" s="26"/>
      <c r="P17" s="26"/>
      <c r="Q17" s="25">
        <f t="shared" si="19"/>
        <v>0</v>
      </c>
      <c r="R17" s="26"/>
      <c r="S17" s="26"/>
      <c r="T17" s="25">
        <f t="shared" si="20"/>
        <v>0</v>
      </c>
      <c r="U17" s="26"/>
      <c r="V17" s="26"/>
      <c r="W17" s="25">
        <f t="shared" si="21"/>
        <v>0</v>
      </c>
      <c r="X17" s="26"/>
      <c r="Y17" s="26"/>
      <c r="Z17" s="25">
        <f t="shared" si="22"/>
        <v>0</v>
      </c>
      <c r="AA17" s="26"/>
      <c r="AB17" s="26"/>
      <c r="AC17" s="25">
        <f t="shared" si="23"/>
        <v>0</v>
      </c>
      <c r="AD17" s="26"/>
      <c r="AE17" s="26"/>
      <c r="AF17" s="25">
        <f t="shared" si="24"/>
        <v>0</v>
      </c>
      <c r="AG17" s="26"/>
      <c r="AH17" s="26"/>
      <c r="AI17" s="25">
        <f t="shared" si="25"/>
        <v>0</v>
      </c>
      <c r="AJ17" s="26"/>
      <c r="AK17" s="26"/>
      <c r="AL17" s="54">
        <f t="shared" ref="AL17:AL28" si="27">C17+F17+I17+L17+O17+R17+U17+X17+AA17+AD17+AG17+AJ17</f>
        <v>0</v>
      </c>
      <c r="AM17" s="4"/>
      <c r="AN17" s="4"/>
    </row>
    <row r="18" ht="12.75" customHeight="1">
      <c r="A18" s="72" t="s">
        <v>294</v>
      </c>
      <c r="B18" s="78">
        <f t="shared" si="14"/>
        <v>0</v>
      </c>
      <c r="C18" s="45">
        <f>SUM(C19:C27)</f>
        <v>0</v>
      </c>
      <c r="D18" s="45"/>
      <c r="E18" s="78">
        <f t="shared" si="15"/>
        <v>0</v>
      </c>
      <c r="F18" s="45">
        <f>SUM(F19:F27)</f>
        <v>0</v>
      </c>
      <c r="G18" s="45"/>
      <c r="H18" s="78">
        <f t="shared" si="16"/>
        <v>0</v>
      </c>
      <c r="I18" s="45">
        <f>SUM(I19:I27)</f>
        <v>0</v>
      </c>
      <c r="J18" s="45"/>
      <c r="K18" s="78">
        <f t="shared" si="17"/>
        <v>0</v>
      </c>
      <c r="L18" s="45">
        <f>SUM(L19:L27)</f>
        <v>0</v>
      </c>
      <c r="M18" s="45"/>
      <c r="N18" s="78">
        <f t="shared" si="18"/>
        <v>0</v>
      </c>
      <c r="O18" s="45">
        <f>SUM(O19:O27)</f>
        <v>0</v>
      </c>
      <c r="P18" s="45"/>
      <c r="Q18" s="78">
        <f t="shared" si="19"/>
        <v>0</v>
      </c>
      <c r="R18" s="45">
        <f>SUM(R19:R27)</f>
        <v>0</v>
      </c>
      <c r="S18" s="45"/>
      <c r="T18" s="78">
        <f t="shared" si="20"/>
        <v>0</v>
      </c>
      <c r="U18" s="45">
        <f>SUM(U19:U27)</f>
        <v>0</v>
      </c>
      <c r="V18" s="45"/>
      <c r="W18" s="78">
        <f t="shared" si="21"/>
        <v>0</v>
      </c>
      <c r="X18" s="45">
        <f>SUM(X19:X27)</f>
        <v>0</v>
      </c>
      <c r="Y18" s="45"/>
      <c r="Z18" s="78">
        <f t="shared" si="22"/>
        <v>0</v>
      </c>
      <c r="AA18" s="45">
        <f>SUM(AA19:AA27)</f>
        <v>0</v>
      </c>
      <c r="AB18" s="45"/>
      <c r="AC18" s="78">
        <f t="shared" si="23"/>
        <v>0</v>
      </c>
      <c r="AD18" s="45">
        <f>SUM(AD19:AD27)</f>
        <v>0</v>
      </c>
      <c r="AE18" s="45"/>
      <c r="AF18" s="78">
        <f t="shared" si="24"/>
        <v>0</v>
      </c>
      <c r="AG18" s="45">
        <f>SUM(AG19:AG27)</f>
        <v>0</v>
      </c>
      <c r="AH18" s="45"/>
      <c r="AI18" s="78">
        <f t="shared" si="25"/>
        <v>0</v>
      </c>
      <c r="AJ18" s="45">
        <f>SUM(AJ19:AJ27)</f>
        <v>0</v>
      </c>
      <c r="AK18" s="45"/>
      <c r="AL18" s="54">
        <f t="shared" si="27"/>
        <v>0</v>
      </c>
      <c r="AM18" s="4"/>
      <c r="AN18" s="4"/>
    </row>
    <row r="19" ht="12.75" customHeight="1">
      <c r="A19" s="24" t="s">
        <v>295</v>
      </c>
      <c r="B19" s="25">
        <f t="shared" si="14"/>
        <v>0</v>
      </c>
      <c r="C19" s="26"/>
      <c r="D19" s="26"/>
      <c r="E19" s="25">
        <f t="shared" si="15"/>
        <v>0</v>
      </c>
      <c r="F19" s="26"/>
      <c r="G19" s="26"/>
      <c r="H19" s="25">
        <f t="shared" si="16"/>
        <v>0</v>
      </c>
      <c r="I19" s="26"/>
      <c r="J19" s="26"/>
      <c r="K19" s="25">
        <f t="shared" si="17"/>
        <v>0</v>
      </c>
      <c r="L19" s="26"/>
      <c r="M19" s="26"/>
      <c r="N19" s="25">
        <f t="shared" si="18"/>
        <v>0</v>
      </c>
      <c r="O19" s="26"/>
      <c r="P19" s="26"/>
      <c r="Q19" s="25">
        <f t="shared" si="19"/>
        <v>0</v>
      </c>
      <c r="R19" s="26"/>
      <c r="S19" s="26"/>
      <c r="T19" s="25">
        <f t="shared" si="20"/>
        <v>0</v>
      </c>
      <c r="U19" s="26"/>
      <c r="V19" s="26"/>
      <c r="W19" s="25">
        <f t="shared" si="21"/>
        <v>0</v>
      </c>
      <c r="X19" s="26"/>
      <c r="Y19" s="26"/>
      <c r="Z19" s="25">
        <f t="shared" si="22"/>
        <v>0</v>
      </c>
      <c r="AA19" s="26"/>
      <c r="AB19" s="26"/>
      <c r="AC19" s="25">
        <f t="shared" si="23"/>
        <v>0</v>
      </c>
      <c r="AD19" s="26"/>
      <c r="AE19" s="26"/>
      <c r="AF19" s="25">
        <f t="shared" si="24"/>
        <v>0</v>
      </c>
      <c r="AG19" s="26"/>
      <c r="AH19" s="26"/>
      <c r="AI19" s="25">
        <f t="shared" si="25"/>
        <v>0</v>
      </c>
      <c r="AJ19" s="26"/>
      <c r="AK19" s="26"/>
      <c r="AL19" s="54">
        <f t="shared" si="27"/>
        <v>0</v>
      </c>
      <c r="AM19" s="4"/>
      <c r="AN19" s="4"/>
    </row>
    <row r="20" ht="12.75" customHeight="1">
      <c r="A20" s="24" t="s">
        <v>296</v>
      </c>
      <c r="B20" s="25">
        <f t="shared" si="14"/>
        <v>0</v>
      </c>
      <c r="C20" s="26"/>
      <c r="D20" s="26"/>
      <c r="E20" s="25">
        <f t="shared" si="15"/>
        <v>0</v>
      </c>
      <c r="F20" s="26"/>
      <c r="G20" s="26"/>
      <c r="H20" s="25">
        <f t="shared" si="16"/>
        <v>0</v>
      </c>
      <c r="I20" s="26"/>
      <c r="J20" s="26"/>
      <c r="K20" s="25">
        <f t="shared" si="17"/>
        <v>0</v>
      </c>
      <c r="L20" s="26"/>
      <c r="M20" s="26"/>
      <c r="N20" s="25">
        <f t="shared" si="18"/>
        <v>0</v>
      </c>
      <c r="O20" s="26"/>
      <c r="P20" s="26"/>
      <c r="Q20" s="25">
        <f t="shared" si="19"/>
        <v>0</v>
      </c>
      <c r="R20" s="26"/>
      <c r="S20" s="26"/>
      <c r="T20" s="25">
        <f t="shared" si="20"/>
        <v>0</v>
      </c>
      <c r="U20" s="26"/>
      <c r="V20" s="26"/>
      <c r="W20" s="25">
        <f t="shared" si="21"/>
        <v>0</v>
      </c>
      <c r="X20" s="26"/>
      <c r="Y20" s="26"/>
      <c r="Z20" s="25">
        <f t="shared" si="22"/>
        <v>0</v>
      </c>
      <c r="AA20" s="26"/>
      <c r="AB20" s="26"/>
      <c r="AC20" s="25">
        <f t="shared" si="23"/>
        <v>0</v>
      </c>
      <c r="AD20" s="26"/>
      <c r="AE20" s="26"/>
      <c r="AF20" s="25">
        <f t="shared" si="24"/>
        <v>0</v>
      </c>
      <c r="AG20" s="26"/>
      <c r="AH20" s="26"/>
      <c r="AI20" s="25">
        <f t="shared" si="25"/>
        <v>0</v>
      </c>
      <c r="AJ20" s="26"/>
      <c r="AK20" s="26"/>
      <c r="AL20" s="54">
        <f t="shared" si="27"/>
        <v>0</v>
      </c>
      <c r="AM20" s="4"/>
      <c r="AN20" s="4"/>
    </row>
    <row r="21" ht="12.75" customHeight="1">
      <c r="A21" s="24" t="s">
        <v>297</v>
      </c>
      <c r="B21" s="25">
        <f t="shared" si="14"/>
        <v>0</v>
      </c>
      <c r="C21" s="26"/>
      <c r="D21" s="26"/>
      <c r="E21" s="25">
        <f t="shared" si="15"/>
        <v>0</v>
      </c>
      <c r="F21" s="26"/>
      <c r="G21" s="26"/>
      <c r="H21" s="25">
        <f t="shared" si="16"/>
        <v>0</v>
      </c>
      <c r="I21" s="26"/>
      <c r="J21" s="26"/>
      <c r="K21" s="25">
        <f t="shared" si="17"/>
        <v>0</v>
      </c>
      <c r="L21" s="26"/>
      <c r="M21" s="26"/>
      <c r="N21" s="25">
        <f t="shared" si="18"/>
        <v>0</v>
      </c>
      <c r="O21" s="26"/>
      <c r="P21" s="26"/>
      <c r="Q21" s="25">
        <f t="shared" si="19"/>
        <v>0</v>
      </c>
      <c r="R21" s="26"/>
      <c r="S21" s="26"/>
      <c r="T21" s="25">
        <f t="shared" si="20"/>
        <v>0</v>
      </c>
      <c r="U21" s="26"/>
      <c r="V21" s="26"/>
      <c r="W21" s="25">
        <f t="shared" si="21"/>
        <v>0</v>
      </c>
      <c r="X21" s="26"/>
      <c r="Y21" s="26"/>
      <c r="Z21" s="25">
        <f t="shared" si="22"/>
        <v>0</v>
      </c>
      <c r="AA21" s="26"/>
      <c r="AB21" s="26"/>
      <c r="AC21" s="25">
        <f t="shared" si="23"/>
        <v>0</v>
      </c>
      <c r="AD21" s="26"/>
      <c r="AE21" s="26"/>
      <c r="AF21" s="25">
        <f t="shared" si="24"/>
        <v>0</v>
      </c>
      <c r="AG21" s="26"/>
      <c r="AH21" s="26"/>
      <c r="AI21" s="25">
        <f t="shared" si="25"/>
        <v>0</v>
      </c>
      <c r="AJ21" s="26"/>
      <c r="AK21" s="26"/>
      <c r="AL21" s="54">
        <f t="shared" si="27"/>
        <v>0</v>
      </c>
      <c r="AM21" s="4"/>
      <c r="AN21" s="4"/>
    </row>
    <row r="22" ht="12.75" customHeight="1">
      <c r="A22" s="304">
        <v>99.0</v>
      </c>
      <c r="B22" s="25">
        <f t="shared" si="14"/>
        <v>0</v>
      </c>
      <c r="C22" s="26"/>
      <c r="D22" s="26"/>
      <c r="E22" s="25">
        <f t="shared" si="15"/>
        <v>0</v>
      </c>
      <c r="F22" s="26"/>
      <c r="G22" s="26"/>
      <c r="H22" s="25">
        <f t="shared" si="16"/>
        <v>0</v>
      </c>
      <c r="I22" s="26"/>
      <c r="J22" s="26"/>
      <c r="K22" s="25">
        <f t="shared" si="17"/>
        <v>0</v>
      </c>
      <c r="L22" s="26"/>
      <c r="M22" s="26"/>
      <c r="N22" s="25">
        <f t="shared" si="18"/>
        <v>0</v>
      </c>
      <c r="O22" s="26"/>
      <c r="P22" s="26"/>
      <c r="Q22" s="25">
        <f t="shared" si="19"/>
        <v>0</v>
      </c>
      <c r="R22" s="26"/>
      <c r="S22" s="26"/>
      <c r="T22" s="25">
        <f t="shared" si="20"/>
        <v>0</v>
      </c>
      <c r="U22" s="26"/>
      <c r="V22" s="26"/>
      <c r="W22" s="25">
        <f t="shared" si="21"/>
        <v>0</v>
      </c>
      <c r="X22" s="26"/>
      <c r="Y22" s="26"/>
      <c r="Z22" s="25">
        <f t="shared" si="22"/>
        <v>0</v>
      </c>
      <c r="AA22" s="26"/>
      <c r="AB22" s="26"/>
      <c r="AC22" s="25">
        <f t="shared" si="23"/>
        <v>0</v>
      </c>
      <c r="AD22" s="26"/>
      <c r="AE22" s="26"/>
      <c r="AF22" s="25">
        <f t="shared" si="24"/>
        <v>0</v>
      </c>
      <c r="AG22" s="26"/>
      <c r="AH22" s="26"/>
      <c r="AI22" s="25">
        <f t="shared" si="25"/>
        <v>0</v>
      </c>
      <c r="AJ22" s="26"/>
      <c r="AK22" s="26"/>
      <c r="AL22" s="54">
        <f t="shared" si="27"/>
        <v>0</v>
      </c>
      <c r="AM22" s="4"/>
      <c r="AN22" s="4"/>
    </row>
    <row r="23" ht="12.75" customHeight="1">
      <c r="A23" s="24" t="s">
        <v>69</v>
      </c>
      <c r="B23" s="25">
        <f t="shared" si="14"/>
        <v>0</v>
      </c>
      <c r="C23" s="26"/>
      <c r="D23" s="26"/>
      <c r="E23" s="25">
        <f t="shared" si="15"/>
        <v>0</v>
      </c>
      <c r="F23" s="26"/>
      <c r="G23" s="26"/>
      <c r="H23" s="25">
        <f t="shared" si="16"/>
        <v>0</v>
      </c>
      <c r="I23" s="26"/>
      <c r="J23" s="26"/>
      <c r="K23" s="25">
        <f t="shared" si="17"/>
        <v>0</v>
      </c>
      <c r="L23" s="26"/>
      <c r="M23" s="26"/>
      <c r="N23" s="25">
        <f t="shared" si="18"/>
        <v>0</v>
      </c>
      <c r="O23" s="26"/>
      <c r="P23" s="26"/>
      <c r="Q23" s="25">
        <f t="shared" si="19"/>
        <v>0</v>
      </c>
      <c r="R23" s="26"/>
      <c r="S23" s="26"/>
      <c r="T23" s="25">
        <f t="shared" si="20"/>
        <v>0</v>
      </c>
      <c r="U23" s="26"/>
      <c r="V23" s="26"/>
      <c r="W23" s="25">
        <f t="shared" si="21"/>
        <v>0</v>
      </c>
      <c r="X23" s="26"/>
      <c r="Y23" s="26"/>
      <c r="Z23" s="25">
        <f t="shared" si="22"/>
        <v>0</v>
      </c>
      <c r="AA23" s="26"/>
      <c r="AB23" s="26"/>
      <c r="AC23" s="25">
        <f t="shared" si="23"/>
        <v>0</v>
      </c>
      <c r="AD23" s="26"/>
      <c r="AE23" s="26"/>
      <c r="AF23" s="25">
        <f t="shared" si="24"/>
        <v>0</v>
      </c>
      <c r="AG23" s="26"/>
      <c r="AH23" s="26"/>
      <c r="AI23" s="25">
        <f t="shared" si="25"/>
        <v>0</v>
      </c>
      <c r="AJ23" s="26"/>
      <c r="AK23" s="26"/>
      <c r="AL23" s="54">
        <f t="shared" si="27"/>
        <v>0</v>
      </c>
      <c r="AM23" s="4"/>
      <c r="AN23" s="4"/>
    </row>
    <row r="24" ht="12.75" customHeight="1">
      <c r="A24" s="24" t="s">
        <v>298</v>
      </c>
      <c r="B24" s="25">
        <f t="shared" si="14"/>
        <v>0</v>
      </c>
      <c r="C24" s="26"/>
      <c r="D24" s="26"/>
      <c r="E24" s="25">
        <f t="shared" si="15"/>
        <v>0</v>
      </c>
      <c r="F24" s="26"/>
      <c r="G24" s="26"/>
      <c r="H24" s="25">
        <f t="shared" si="16"/>
        <v>0</v>
      </c>
      <c r="I24" s="26"/>
      <c r="J24" s="26"/>
      <c r="K24" s="25">
        <f t="shared" si="17"/>
        <v>0</v>
      </c>
      <c r="L24" s="26"/>
      <c r="M24" s="26"/>
      <c r="N24" s="25">
        <f t="shared" si="18"/>
        <v>0</v>
      </c>
      <c r="O24" s="26"/>
      <c r="P24" s="26"/>
      <c r="Q24" s="25">
        <f t="shared" si="19"/>
        <v>0</v>
      </c>
      <c r="R24" s="26"/>
      <c r="S24" s="26"/>
      <c r="T24" s="25">
        <f t="shared" si="20"/>
        <v>0</v>
      </c>
      <c r="U24" s="26"/>
      <c r="V24" s="26"/>
      <c r="W24" s="25">
        <f t="shared" si="21"/>
        <v>0</v>
      </c>
      <c r="X24" s="26"/>
      <c r="Y24" s="26"/>
      <c r="Z24" s="25">
        <f t="shared" si="22"/>
        <v>0</v>
      </c>
      <c r="AA24" s="26"/>
      <c r="AB24" s="26"/>
      <c r="AC24" s="25">
        <f t="shared" si="23"/>
        <v>0</v>
      </c>
      <c r="AD24" s="26"/>
      <c r="AE24" s="26"/>
      <c r="AF24" s="25">
        <f t="shared" si="24"/>
        <v>0</v>
      </c>
      <c r="AG24" s="26"/>
      <c r="AH24" s="26"/>
      <c r="AI24" s="25">
        <f t="shared" si="25"/>
        <v>0</v>
      </c>
      <c r="AJ24" s="26"/>
      <c r="AK24" s="26"/>
      <c r="AL24" s="54">
        <f t="shared" si="27"/>
        <v>0</v>
      </c>
      <c r="AM24" s="4"/>
      <c r="AN24" s="4"/>
    </row>
    <row r="25" ht="12.75" customHeight="1">
      <c r="A25" s="24" t="s">
        <v>93</v>
      </c>
      <c r="B25" s="25">
        <f t="shared" si="14"/>
        <v>0</v>
      </c>
      <c r="C25" s="26"/>
      <c r="D25" s="26"/>
      <c r="E25" s="25">
        <f t="shared" si="15"/>
        <v>0</v>
      </c>
      <c r="F25" s="26"/>
      <c r="G25" s="26"/>
      <c r="H25" s="25">
        <f t="shared" si="16"/>
        <v>0</v>
      </c>
      <c r="I25" s="26"/>
      <c r="J25" s="26"/>
      <c r="K25" s="25">
        <f t="shared" si="17"/>
        <v>0</v>
      </c>
      <c r="L25" s="26"/>
      <c r="M25" s="26"/>
      <c r="N25" s="25">
        <f t="shared" si="18"/>
        <v>0</v>
      </c>
      <c r="O25" s="26"/>
      <c r="P25" s="26"/>
      <c r="Q25" s="25">
        <f t="shared" si="19"/>
        <v>0</v>
      </c>
      <c r="R25" s="26"/>
      <c r="S25" s="26"/>
      <c r="T25" s="25">
        <f t="shared" si="20"/>
        <v>0</v>
      </c>
      <c r="U25" s="26"/>
      <c r="V25" s="26"/>
      <c r="W25" s="25">
        <f t="shared" si="21"/>
        <v>0</v>
      </c>
      <c r="X25" s="26"/>
      <c r="Y25" s="26"/>
      <c r="Z25" s="25">
        <f t="shared" si="22"/>
        <v>0</v>
      </c>
      <c r="AA25" s="26"/>
      <c r="AB25" s="26"/>
      <c r="AC25" s="25">
        <f t="shared" si="23"/>
        <v>0</v>
      </c>
      <c r="AD25" s="26"/>
      <c r="AE25" s="26"/>
      <c r="AF25" s="25">
        <f t="shared" si="24"/>
        <v>0</v>
      </c>
      <c r="AG25" s="26"/>
      <c r="AH25" s="26"/>
      <c r="AI25" s="25">
        <f t="shared" si="25"/>
        <v>0</v>
      </c>
      <c r="AJ25" s="26"/>
      <c r="AK25" s="26"/>
      <c r="AL25" s="54">
        <f t="shared" si="27"/>
        <v>0</v>
      </c>
      <c r="AM25" s="4"/>
      <c r="AN25" s="4"/>
    </row>
    <row r="26" ht="12.75" customHeight="1">
      <c r="A26" s="24"/>
      <c r="B26" s="25">
        <f t="shared" si="14"/>
        <v>0</v>
      </c>
      <c r="C26" s="26"/>
      <c r="D26" s="26"/>
      <c r="E26" s="25">
        <f t="shared" si="15"/>
        <v>0</v>
      </c>
      <c r="F26" s="26"/>
      <c r="G26" s="26"/>
      <c r="H26" s="25">
        <f t="shared" si="16"/>
        <v>0</v>
      </c>
      <c r="I26" s="26"/>
      <c r="J26" s="26"/>
      <c r="K26" s="25">
        <f t="shared" si="17"/>
        <v>0</v>
      </c>
      <c r="L26" s="26"/>
      <c r="M26" s="26"/>
      <c r="N26" s="25">
        <f t="shared" si="18"/>
        <v>0</v>
      </c>
      <c r="O26" s="26"/>
      <c r="P26" s="26"/>
      <c r="Q26" s="25">
        <f t="shared" si="19"/>
        <v>0</v>
      </c>
      <c r="R26" s="26"/>
      <c r="S26" s="26"/>
      <c r="T26" s="25">
        <f t="shared" si="20"/>
        <v>0</v>
      </c>
      <c r="U26" s="26"/>
      <c r="V26" s="26"/>
      <c r="W26" s="25">
        <f t="shared" si="21"/>
        <v>0</v>
      </c>
      <c r="X26" s="26"/>
      <c r="Y26" s="26"/>
      <c r="Z26" s="25">
        <f t="shared" si="22"/>
        <v>0</v>
      </c>
      <c r="AA26" s="26"/>
      <c r="AB26" s="26"/>
      <c r="AC26" s="25">
        <f t="shared" si="23"/>
        <v>0</v>
      </c>
      <c r="AD26" s="26"/>
      <c r="AE26" s="26"/>
      <c r="AF26" s="25">
        <f t="shared" si="24"/>
        <v>0</v>
      </c>
      <c r="AG26" s="26"/>
      <c r="AH26" s="26"/>
      <c r="AI26" s="25">
        <f t="shared" si="25"/>
        <v>0</v>
      </c>
      <c r="AJ26" s="26"/>
      <c r="AK26" s="26"/>
      <c r="AL26" s="54">
        <f t="shared" si="27"/>
        <v>0</v>
      </c>
      <c r="AM26" s="4"/>
      <c r="AN26" s="4"/>
    </row>
    <row r="27" ht="12.75" customHeight="1">
      <c r="A27" s="24"/>
      <c r="B27" s="25">
        <f t="shared" si="14"/>
        <v>0</v>
      </c>
      <c r="C27" s="303"/>
      <c r="D27" s="303"/>
      <c r="E27" s="25">
        <f t="shared" si="15"/>
        <v>0</v>
      </c>
      <c r="F27" s="303"/>
      <c r="G27" s="303"/>
      <c r="H27" s="25">
        <f t="shared" si="16"/>
        <v>0</v>
      </c>
      <c r="I27" s="303"/>
      <c r="J27" s="303"/>
      <c r="K27" s="25">
        <f t="shared" si="17"/>
        <v>0</v>
      </c>
      <c r="L27" s="303"/>
      <c r="M27" s="303"/>
      <c r="N27" s="25">
        <f t="shared" si="18"/>
        <v>0</v>
      </c>
      <c r="O27" s="303"/>
      <c r="P27" s="303"/>
      <c r="Q27" s="25">
        <f t="shared" si="19"/>
        <v>0</v>
      </c>
      <c r="R27" s="303"/>
      <c r="S27" s="303"/>
      <c r="T27" s="25">
        <f t="shared" si="20"/>
        <v>0</v>
      </c>
      <c r="U27" s="303"/>
      <c r="V27" s="303"/>
      <c r="W27" s="25">
        <f t="shared" si="21"/>
        <v>0</v>
      </c>
      <c r="X27" s="303"/>
      <c r="Y27" s="303"/>
      <c r="Z27" s="25">
        <f t="shared" si="22"/>
        <v>0</v>
      </c>
      <c r="AA27" s="303"/>
      <c r="AB27" s="303"/>
      <c r="AC27" s="25">
        <f t="shared" si="23"/>
        <v>0</v>
      </c>
      <c r="AD27" s="303"/>
      <c r="AE27" s="303"/>
      <c r="AF27" s="25">
        <f t="shared" si="24"/>
        <v>0</v>
      </c>
      <c r="AG27" s="303"/>
      <c r="AH27" s="303"/>
      <c r="AI27" s="25">
        <f t="shared" si="25"/>
        <v>0</v>
      </c>
      <c r="AJ27" s="303"/>
      <c r="AK27" s="303"/>
      <c r="AL27" s="305">
        <f t="shared" si="27"/>
        <v>0</v>
      </c>
      <c r="AM27" s="4"/>
      <c r="AN27" s="4"/>
    </row>
    <row r="28" ht="12.75" customHeight="1">
      <c r="A28" s="72" t="s">
        <v>299</v>
      </c>
      <c r="B28" s="31">
        <f t="shared" si="14"/>
        <v>0</v>
      </c>
      <c r="C28" s="79">
        <f>C10+C18</f>
        <v>0</v>
      </c>
      <c r="D28" s="79"/>
      <c r="E28" s="31">
        <f t="shared" si="15"/>
        <v>0</v>
      </c>
      <c r="F28" s="79">
        <f>F10+F18</f>
        <v>0</v>
      </c>
      <c r="G28" s="79"/>
      <c r="H28" s="31">
        <f t="shared" si="16"/>
        <v>0</v>
      </c>
      <c r="I28" s="79">
        <f>I10+I18</f>
        <v>0</v>
      </c>
      <c r="J28" s="79"/>
      <c r="K28" s="31">
        <f t="shared" si="17"/>
        <v>0</v>
      </c>
      <c r="L28" s="79">
        <f>L10+L18</f>
        <v>0</v>
      </c>
      <c r="M28" s="79"/>
      <c r="N28" s="31">
        <f t="shared" si="18"/>
        <v>0</v>
      </c>
      <c r="O28" s="79">
        <f>O10+O18</f>
        <v>0</v>
      </c>
      <c r="P28" s="79"/>
      <c r="Q28" s="31">
        <f t="shared" si="19"/>
        <v>0</v>
      </c>
      <c r="R28" s="79">
        <f>R10+R18</f>
        <v>0</v>
      </c>
      <c r="S28" s="79"/>
      <c r="T28" s="31">
        <f t="shared" si="20"/>
        <v>0</v>
      </c>
      <c r="U28" s="79">
        <f>U10+U18</f>
        <v>0</v>
      </c>
      <c r="V28" s="79"/>
      <c r="W28" s="31">
        <f t="shared" si="21"/>
        <v>0</v>
      </c>
      <c r="X28" s="79">
        <f>X10+X18</f>
        <v>0</v>
      </c>
      <c r="Y28" s="79"/>
      <c r="Z28" s="31">
        <f t="shared" si="22"/>
        <v>0</v>
      </c>
      <c r="AA28" s="79">
        <f>AA10+AA18</f>
        <v>0</v>
      </c>
      <c r="AB28" s="79"/>
      <c r="AC28" s="31">
        <f t="shared" si="23"/>
        <v>0</v>
      </c>
      <c r="AD28" s="79">
        <f>AD10+AD18</f>
        <v>0</v>
      </c>
      <c r="AE28" s="79"/>
      <c r="AF28" s="31">
        <f t="shared" si="24"/>
        <v>0</v>
      </c>
      <c r="AG28" s="79">
        <f>AG10+AG18</f>
        <v>0</v>
      </c>
      <c r="AH28" s="79"/>
      <c r="AI28" s="31">
        <f t="shared" si="25"/>
        <v>0</v>
      </c>
      <c r="AJ28" s="79">
        <f>AJ10+AJ18</f>
        <v>0</v>
      </c>
      <c r="AK28" s="79"/>
      <c r="AL28" s="79">
        <f t="shared" si="27"/>
        <v>0</v>
      </c>
      <c r="AM28" s="4"/>
      <c r="AN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2.75" customHeight="1">
      <c r="A30" s="16" t="s">
        <v>111</v>
      </c>
      <c r="B30" s="306">
        <f>C8-C28</f>
        <v>0</v>
      </c>
      <c r="C30" s="307"/>
      <c r="D30" s="87"/>
      <c r="E30" s="306">
        <f>F8-F28</f>
        <v>0</v>
      </c>
      <c r="F30" s="307"/>
      <c r="G30" s="87"/>
      <c r="H30" s="306">
        <f>I8-I28</f>
        <v>0</v>
      </c>
      <c r="I30" s="307"/>
      <c r="J30" s="87"/>
      <c r="K30" s="306">
        <f>L8-L28</f>
        <v>0</v>
      </c>
      <c r="L30" s="307"/>
      <c r="M30" s="87"/>
      <c r="N30" s="306">
        <f>O8-O28</f>
        <v>0</v>
      </c>
      <c r="O30" s="307"/>
      <c r="P30" s="87"/>
      <c r="Q30" s="306">
        <f>R8-R28</f>
        <v>0</v>
      </c>
      <c r="R30" s="307"/>
      <c r="S30" s="87"/>
      <c r="T30" s="306">
        <f>U8-U28</f>
        <v>0</v>
      </c>
      <c r="U30" s="307"/>
      <c r="V30" s="87"/>
      <c r="W30" s="306">
        <f>X8-X28</f>
        <v>0</v>
      </c>
      <c r="X30" s="307"/>
      <c r="Y30" s="87"/>
      <c r="Z30" s="306">
        <f>AA8-AA28</f>
        <v>0</v>
      </c>
      <c r="AA30" s="307"/>
      <c r="AB30" s="87"/>
      <c r="AC30" s="306">
        <f>AD8-AD28</f>
        <v>0</v>
      </c>
      <c r="AD30" s="307"/>
      <c r="AE30" s="87"/>
      <c r="AF30" s="306">
        <f>AG8-AG28</f>
        <v>0</v>
      </c>
      <c r="AG30" s="307"/>
      <c r="AH30" s="87"/>
      <c r="AI30" s="306">
        <f>AJ8-AJ28</f>
        <v>0</v>
      </c>
      <c r="AJ30" s="307"/>
      <c r="AK30" s="87"/>
      <c r="AL30" s="87">
        <f>SUM(B30:AJ30)</f>
        <v>0</v>
      </c>
      <c r="AM30" s="65"/>
      <c r="AN30" s="50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12">
    <mergeCell ref="W30:X30"/>
    <mergeCell ref="Z30:AA30"/>
    <mergeCell ref="AC30:AD30"/>
    <mergeCell ref="AF30:AG30"/>
    <mergeCell ref="AI30:AJ30"/>
    <mergeCell ref="B30:C30"/>
    <mergeCell ref="E30:F30"/>
    <mergeCell ref="H30:I30"/>
    <mergeCell ref="K30:L30"/>
    <mergeCell ref="N30:O30"/>
    <mergeCell ref="Q30:R30"/>
    <mergeCell ref="T30:U30"/>
  </mergeCells>
  <conditionalFormatting sqref="B28 E28 H28 K28 N28 Q28 T28 W28 Z28 AC28 AF28 AI28">
    <cfRule type="cellIs" dxfId="0" priority="1" operator="lessThan">
      <formula>10%</formula>
    </cfRule>
  </conditionalFormatting>
  <conditionalFormatting sqref="B28 E28 H28 K28 N28 Q28 T28 W28 Z28 AC28 AF28 AI28">
    <cfRule type="cellIs" dxfId="1" priority="2" operator="greaterThan">
      <formula>10%</formula>
    </cfRule>
  </conditionalFormatting>
  <conditionalFormatting sqref="B30 J30:K30 M30:N30 P30:Q30 S30:T30 V30:W30 Y30:Z30 AB30:AC30 AE30:AF30 AH30:AI30 AK30:AL30">
    <cfRule type="cellIs" dxfId="2" priority="3" operator="greaterThan">
      <formula>0</formula>
    </cfRule>
  </conditionalFormatting>
  <conditionalFormatting sqref="B30 J30:K30 M30:N30 P30:Q30 S30:T30 V30:W30 Y30:Z30 AB30:AC30 AE30:AF30 AH30:AI30 AK30:AL30">
    <cfRule type="cellIs" dxfId="3" priority="4" operator="lessThan">
      <formula>0</formula>
    </cfRule>
  </conditionalFormatting>
  <conditionalFormatting sqref="D30:E30">
    <cfRule type="cellIs" dxfId="2" priority="5" operator="greaterThan">
      <formula>0</formula>
    </cfRule>
  </conditionalFormatting>
  <conditionalFormatting sqref="D30:E30">
    <cfRule type="cellIs" dxfId="3" priority="6" operator="lessThan">
      <formula>0</formula>
    </cfRule>
  </conditionalFormatting>
  <conditionalFormatting sqref="G30:H30">
    <cfRule type="cellIs" dxfId="2" priority="7" operator="greaterThan">
      <formula>0</formula>
    </cfRule>
  </conditionalFormatting>
  <conditionalFormatting sqref="G30:H30">
    <cfRule type="cellIs" dxfId="3" priority="8" operator="lessThan">
      <formula>0</formula>
    </cfRule>
  </conditionalFormatting>
  <dataValidations>
    <dataValidation type="list" allowBlank="1" showErrorMessage="1" sqref="D3:D7 G3:G7 J3:J7 M3:M7 P3:P7 S3:S7 V3:V7 Y3:Y7 AB3:AB7 AE3:AE7 AH3:AH7 AK3:AK7 D11:D17 G11:G17 J11:J17 M11:M17 P11:P17 S11:S17 V11:V17 Y11:Y17 AB11:AB17 AE11:AE17 AH11:AH17 AK11:AK17 D19:D27 G19:G27 J19:J27 M19:M27 P19:P27 S19:S27 V19:V27 Y19:Y27 AB19:AB27 AE19:AE27 AH19:AH27 AK19:AK27">
      <formula1>"Alelo,Sodexo,Ticket Restaurante,Caju,Bilhete Único"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0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0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9" width="8.13"/>
    <col customWidth="1" min="10" max="26" width="14.38"/>
  </cols>
  <sheetData>
    <row r="1" ht="12.75" customHeight="1"/>
    <row r="2" ht="12.75" customHeight="1"/>
    <row r="3" ht="12.75" customHeight="1"/>
    <row r="4" ht="12.75" customHeight="1">
      <c r="A4" s="3"/>
      <c r="B4" s="308"/>
    </row>
    <row r="5" ht="12.75" customHeight="1">
      <c r="A5" s="3"/>
      <c r="B5" s="308"/>
    </row>
    <row r="6" ht="12.75" customHeight="1">
      <c r="A6" s="3"/>
      <c r="B6" s="3"/>
      <c r="C6" s="309"/>
      <c r="D6" s="3"/>
      <c r="E6" s="3"/>
      <c r="F6" s="3"/>
    </row>
    <row r="7" ht="12.75" customHeight="1">
      <c r="A7" s="3"/>
      <c r="B7" s="3"/>
      <c r="C7" s="3"/>
      <c r="D7" s="3"/>
      <c r="E7" s="3"/>
      <c r="F7" s="3"/>
    </row>
    <row r="8" ht="12.75" customHeight="1">
      <c r="A8" s="3"/>
      <c r="B8" s="3"/>
      <c r="C8" s="3"/>
      <c r="D8" s="3"/>
      <c r="E8" s="3"/>
      <c r="F8" s="3"/>
    </row>
    <row r="9" ht="12.75" customHeight="1">
      <c r="A9" s="3"/>
      <c r="B9" s="3"/>
      <c r="C9" s="3"/>
      <c r="D9" s="3"/>
      <c r="E9" s="3"/>
      <c r="F9" s="3"/>
    </row>
    <row r="10" ht="12.75" customHeight="1">
      <c r="A10" s="3"/>
      <c r="B10" s="3"/>
      <c r="C10" s="3"/>
      <c r="D10" s="3"/>
      <c r="E10" s="3"/>
      <c r="F10" s="3"/>
    </row>
    <row r="11" ht="12.75" customHeight="1">
      <c r="A11" s="3"/>
      <c r="B11" s="3"/>
      <c r="C11" s="3"/>
      <c r="D11" s="3"/>
      <c r="E11" s="3"/>
      <c r="F11" s="3"/>
    </row>
    <row r="12" ht="12.75" customHeight="1">
      <c r="A12" s="3"/>
      <c r="B12" s="3"/>
      <c r="C12" s="3"/>
      <c r="D12" s="3"/>
      <c r="E12" s="3"/>
      <c r="F12" s="3"/>
    </row>
    <row r="13" ht="12.75" customHeight="1">
      <c r="A13" s="3"/>
      <c r="B13" s="3"/>
      <c r="C13" s="3"/>
      <c r="D13" s="3"/>
      <c r="E13" s="3"/>
      <c r="F13" s="3"/>
    </row>
    <row r="14" ht="12.75" customHeight="1">
      <c r="A14" s="3"/>
      <c r="B14" s="3"/>
      <c r="C14" s="3"/>
      <c r="D14" s="3"/>
      <c r="E14" s="3"/>
      <c r="F14" s="3"/>
    </row>
    <row r="15" ht="12.75" customHeight="1">
      <c r="A15" s="3"/>
      <c r="B15" s="3"/>
      <c r="C15" s="3"/>
      <c r="D15" s="3"/>
      <c r="E15" s="3"/>
      <c r="F15" s="3"/>
    </row>
    <row r="16" ht="12.75" customHeight="1">
      <c r="A16" s="3"/>
      <c r="B16" s="3"/>
      <c r="C16" s="3"/>
      <c r="D16" s="3"/>
      <c r="E16" s="3"/>
      <c r="F16" s="3"/>
    </row>
    <row r="17" ht="12.75" customHeight="1">
      <c r="A17" s="3"/>
      <c r="B17" s="3"/>
      <c r="C17" s="3"/>
      <c r="D17" s="3"/>
      <c r="E17" s="3"/>
      <c r="F17" s="3"/>
    </row>
    <row r="18" ht="12.75" customHeight="1">
      <c r="A18" s="3"/>
      <c r="B18" s="3"/>
      <c r="C18" s="3"/>
      <c r="D18" s="3"/>
      <c r="E18" s="3"/>
      <c r="F18" s="3"/>
    </row>
    <row r="19" ht="12.75" customHeight="1">
      <c r="A19" s="3"/>
      <c r="B19" s="3"/>
      <c r="C19" s="3"/>
      <c r="D19" s="3"/>
      <c r="E19" s="3"/>
      <c r="F19" s="3"/>
    </row>
    <row r="20" ht="12.75" customHeight="1">
      <c r="A20" s="3"/>
      <c r="B20" s="3"/>
      <c r="C20" s="3"/>
      <c r="D20" s="3"/>
      <c r="E20" s="3"/>
      <c r="F20" s="3"/>
    </row>
    <row r="21" ht="12.75" customHeight="1">
      <c r="A21" s="3"/>
      <c r="B21" s="3"/>
      <c r="C21" s="3"/>
      <c r="D21" s="3"/>
      <c r="E21" s="3"/>
      <c r="F21" s="3"/>
    </row>
    <row r="22" ht="12.75" customHeight="1">
      <c r="A22" s="3"/>
      <c r="B22" s="3"/>
      <c r="C22" s="3"/>
      <c r="D22" s="3"/>
      <c r="E22" s="3"/>
      <c r="F22" s="3"/>
    </row>
    <row r="23" ht="12.75" customHeight="1">
      <c r="A23" s="3"/>
      <c r="B23" s="3"/>
      <c r="C23" s="3"/>
      <c r="D23" s="3"/>
      <c r="E23" s="3"/>
      <c r="F23" s="3"/>
    </row>
    <row r="24" ht="12.75" customHeight="1">
      <c r="A24" s="3"/>
      <c r="B24" s="3"/>
      <c r="C24" s="3"/>
      <c r="D24" s="3"/>
      <c r="E24" s="3"/>
      <c r="F24" s="3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28.88"/>
    <col customWidth="1" min="3" max="3" width="10.75"/>
    <col customWidth="1" min="4" max="15" width="8.13"/>
    <col customWidth="1" min="16" max="26" width="14.38"/>
  </cols>
  <sheetData>
    <row r="1" ht="12.75" customHeight="1"/>
    <row r="2" ht="12.75" customHeight="1"/>
    <row r="3" ht="12.75" customHeight="1"/>
    <row r="4" ht="12.75" customHeight="1">
      <c r="A4" s="3"/>
      <c r="B4" s="222" t="s">
        <v>300</v>
      </c>
    </row>
    <row r="5" ht="12.75" customHeight="1">
      <c r="A5" s="3"/>
      <c r="B5" s="222"/>
    </row>
    <row r="6" ht="12.75" customHeight="1">
      <c r="A6" s="3"/>
      <c r="C6" s="310"/>
    </row>
    <row r="7" ht="12.75" customHeight="1">
      <c r="A7" s="3"/>
      <c r="B7" s="311"/>
      <c r="C7" s="312" t="s">
        <v>237</v>
      </c>
      <c r="D7" s="312" t="s">
        <v>238</v>
      </c>
      <c r="E7" s="312" t="s">
        <v>239</v>
      </c>
      <c r="F7" s="312" t="s">
        <v>240</v>
      </c>
      <c r="G7" s="312" t="s">
        <v>241</v>
      </c>
      <c r="H7" s="312" t="s">
        <v>242</v>
      </c>
      <c r="I7" s="312" t="s">
        <v>243</v>
      </c>
      <c r="J7" s="312" t="s">
        <v>244</v>
      </c>
      <c r="K7" s="312" t="s">
        <v>245</v>
      </c>
      <c r="L7" s="312" t="s">
        <v>246</v>
      </c>
      <c r="M7" s="312" t="s">
        <v>247</v>
      </c>
      <c r="N7" s="312" t="s">
        <v>248</v>
      </c>
      <c r="O7" s="312" t="s">
        <v>249</v>
      </c>
    </row>
    <row r="8" ht="12.75" customHeight="1">
      <c r="A8" s="3"/>
      <c r="B8" s="313" t="s">
        <v>23</v>
      </c>
      <c r="C8" s="314">
        <f>'ORC DOM_2025'!C22</f>
        <v>0</v>
      </c>
      <c r="D8" s="314">
        <f>'ORC DOM_2025'!E22</f>
        <v>250</v>
      </c>
      <c r="E8" s="314">
        <f>'ORC DOM_2025'!G22</f>
        <v>250</v>
      </c>
      <c r="F8" s="314">
        <f>'ORC DOM_2025'!I22</f>
        <v>250</v>
      </c>
      <c r="G8" s="314">
        <f>'ORC DOM_2025'!K22</f>
        <v>250</v>
      </c>
      <c r="H8" s="314">
        <f>'ORC DOM_2025'!M22</f>
        <v>250</v>
      </c>
      <c r="I8" s="314">
        <f>'ORC DOM_2025'!O22</f>
        <v>250</v>
      </c>
      <c r="J8" s="314">
        <f>'ORC DOM_2025'!Q22</f>
        <v>1250</v>
      </c>
      <c r="K8" s="314">
        <f>'ORC DOM_2025'!S22</f>
        <v>250</v>
      </c>
      <c r="L8" s="314">
        <f>'ORC DOM_2025'!U22</f>
        <v>250</v>
      </c>
      <c r="M8" s="314">
        <f>'ORC DOM_2025'!W22</f>
        <v>1250</v>
      </c>
      <c r="N8" s="314">
        <f>'ORC DOM_2025'!Y22</f>
        <v>250</v>
      </c>
      <c r="O8" s="314">
        <f t="shared" ref="O8:O16" si="1">SUM(C8:N8)</f>
        <v>4750</v>
      </c>
    </row>
    <row r="9" ht="12.75" customHeight="1">
      <c r="A9" s="315"/>
      <c r="B9" s="313" t="str">
        <f>'ORC DOM_2025'!A31</f>
        <v>HABITAÇÃO</v>
      </c>
      <c r="C9" s="314">
        <f>'ORC DOM_2025'!C31</f>
        <v>1351.5</v>
      </c>
      <c r="D9" s="314">
        <f>'ORC DOM_2025'!E31</f>
        <v>1511</v>
      </c>
      <c r="E9" s="314">
        <f>'ORC DOM_2025'!G31</f>
        <v>1511</v>
      </c>
      <c r="F9" s="314">
        <f>'ORC DOM_2025'!I31</f>
        <v>1506</v>
      </c>
      <c r="G9" s="314">
        <f>'ORC DOM_2025'!K31</f>
        <v>1506</v>
      </c>
      <c r="H9" s="314">
        <f>'ORC DOM_2025'!M31</f>
        <v>1506</v>
      </c>
      <c r="I9" s="314">
        <f>'ORC DOM_2025'!O31</f>
        <v>1506</v>
      </c>
      <c r="J9" s="314">
        <f>'ORC DOM_2025'!Q31</f>
        <v>1506</v>
      </c>
      <c r="K9" s="314">
        <f>'ORC DOM_2025'!S31</f>
        <v>1506</v>
      </c>
      <c r="L9" s="314">
        <f>'ORC DOM_2025'!U31</f>
        <v>1506</v>
      </c>
      <c r="M9" s="314">
        <f>'ORC DOM_2025'!W31</f>
        <v>1506</v>
      </c>
      <c r="N9" s="314">
        <f>'ORC DOM_2025'!Y31</f>
        <v>1506</v>
      </c>
      <c r="O9" s="314">
        <f t="shared" si="1"/>
        <v>17927.5</v>
      </c>
    </row>
    <row r="10" ht="12.75" customHeight="1">
      <c r="A10" s="315"/>
      <c r="B10" s="313" t="s">
        <v>301</v>
      </c>
      <c r="C10" s="314">
        <f>'ORC DOM_2025'!C46</f>
        <v>165.81</v>
      </c>
      <c r="D10" s="314">
        <f>'ORC DOM_2025'!E46</f>
        <v>165.81</v>
      </c>
      <c r="E10" s="314">
        <f>'ORC DOM_2025'!G46</f>
        <v>165.81</v>
      </c>
      <c r="F10" s="314">
        <f>'ORC DOM_2025'!I46</f>
        <v>165.81</v>
      </c>
      <c r="G10" s="314">
        <f>'ORC DOM_2025'!K46</f>
        <v>165.81</v>
      </c>
      <c r="H10" s="314">
        <f>'ORC DOM_2025'!M46</f>
        <v>165.81</v>
      </c>
      <c r="I10" s="314">
        <f>'ORC DOM_2025'!O46</f>
        <v>165.81</v>
      </c>
      <c r="J10" s="314">
        <f>'ORC DOM_2025'!Q46</f>
        <v>160.72</v>
      </c>
      <c r="K10" s="314">
        <f>'ORC DOM_2025'!S46</f>
        <v>104.81</v>
      </c>
      <c r="L10" s="314">
        <f>'ORC DOM_2025'!U46</f>
        <v>98.31</v>
      </c>
      <c r="M10" s="314">
        <f>'ORC DOM_2025'!W46</f>
        <v>91.81</v>
      </c>
      <c r="N10" s="314">
        <f>'ORC DOM_2025'!Y46</f>
        <v>104.81</v>
      </c>
      <c r="O10" s="314">
        <f t="shared" si="1"/>
        <v>1721.13</v>
      </c>
    </row>
    <row r="11" ht="12.75" customHeight="1">
      <c r="A11" s="315"/>
      <c r="B11" s="313" t="str">
        <f>'ORC DOM_2025'!A53</f>
        <v>SAÚDE</v>
      </c>
      <c r="C11" s="314">
        <f>'ORC DOM_2025'!C53</f>
        <v>0</v>
      </c>
      <c r="D11" s="314">
        <f>'ORC DOM_2025'!E53</f>
        <v>55</v>
      </c>
      <c r="E11" s="314">
        <f>'ORC DOM_2025'!G53</f>
        <v>55</v>
      </c>
      <c r="F11" s="314">
        <f>'ORC DOM_2025'!I53</f>
        <v>55</v>
      </c>
      <c r="G11" s="314">
        <f>'ORC DOM_2025'!K53</f>
        <v>0</v>
      </c>
      <c r="H11" s="314">
        <f>'ORC DOM_2025'!M53</f>
        <v>0</v>
      </c>
      <c r="I11" s="314">
        <f>'ORC DOM_2025'!O53</f>
        <v>0</v>
      </c>
      <c r="J11" s="314">
        <f>'ORC DOM_2025'!Q53</f>
        <v>0</v>
      </c>
      <c r="K11" s="314">
        <f>'ORC DOM_2025'!S53</f>
        <v>0</v>
      </c>
      <c r="L11" s="314">
        <f>'ORC DOM_2025'!U53</f>
        <v>0</v>
      </c>
      <c r="M11" s="314">
        <f>'ORC DOM_2025'!W53</f>
        <v>0</v>
      </c>
      <c r="N11" s="314">
        <f>'ORC DOM_2025'!Y53</f>
        <v>0</v>
      </c>
      <c r="O11" s="314">
        <f t="shared" si="1"/>
        <v>165</v>
      </c>
    </row>
    <row r="12" ht="12.75" customHeight="1">
      <c r="A12" s="315"/>
      <c r="B12" s="313" t="str">
        <f>'ORC DOM_2025'!A59</f>
        <v>TRANSPORTE</v>
      </c>
      <c r="C12" s="314">
        <f>'ORC DOM_2025'!C59</f>
        <v>191</v>
      </c>
      <c r="D12" s="314">
        <f>'ORC DOM_2025'!E59</f>
        <v>113</v>
      </c>
      <c r="E12" s="314">
        <f>'ORC DOM_2025'!G59</f>
        <v>113</v>
      </c>
      <c r="F12" s="314">
        <f>'ORC DOM_2025'!I59</f>
        <v>113</v>
      </c>
      <c r="G12" s="314">
        <f>'ORC DOM_2025'!K59</f>
        <v>209</v>
      </c>
      <c r="H12" s="314">
        <f>'ORC DOM_2025'!M59</f>
        <v>203</v>
      </c>
      <c r="I12" s="314">
        <f>'ORC DOM_2025'!O59</f>
        <v>203</v>
      </c>
      <c r="J12" s="314">
        <f>'ORC DOM_2025'!Q59</f>
        <v>203</v>
      </c>
      <c r="K12" s="314">
        <f>'ORC DOM_2025'!S59</f>
        <v>209</v>
      </c>
      <c r="L12" s="314">
        <f>'ORC DOM_2025'!U59</f>
        <v>113</v>
      </c>
      <c r="M12" s="314">
        <f>'ORC DOM_2025'!W59</f>
        <v>313</v>
      </c>
      <c r="N12" s="314">
        <f>'ORC DOM_2025'!Y59</f>
        <v>113</v>
      </c>
      <c r="O12" s="314">
        <f t="shared" si="1"/>
        <v>2096</v>
      </c>
    </row>
    <row r="13" ht="12.75" customHeight="1">
      <c r="A13" s="315"/>
      <c r="B13" s="313" t="str">
        <f>'ORC DOM_2025'!A71</f>
        <v>DESPESAS PESSOAIS</v>
      </c>
      <c r="C13" s="314">
        <f>'ORC DOM_2025'!C71</f>
        <v>264.465</v>
      </c>
      <c r="D13" s="314">
        <f>'ORC DOM_2025'!E71</f>
        <v>434.465</v>
      </c>
      <c r="E13" s="314">
        <f>'ORC DOM_2025'!G71</f>
        <v>534.465</v>
      </c>
      <c r="F13" s="314">
        <f>'ORC DOM_2025'!I71</f>
        <v>434.465</v>
      </c>
      <c r="G13" s="314">
        <f>'ORC DOM_2025'!K71</f>
        <v>200</v>
      </c>
      <c r="H13" s="314">
        <f>'ORC DOM_2025'!M71</f>
        <v>400</v>
      </c>
      <c r="I13" s="314">
        <f>'ORC DOM_2025'!O71</f>
        <v>220</v>
      </c>
      <c r="J13" s="314">
        <f>'ORC DOM_2025'!Q71</f>
        <v>400</v>
      </c>
      <c r="K13" s="314">
        <f>'ORC DOM_2025'!S71</f>
        <v>100</v>
      </c>
      <c r="L13" s="314">
        <f>'ORC DOM_2025'!U71</f>
        <v>520</v>
      </c>
      <c r="M13" s="314">
        <f>'ORC DOM_2025'!W71</f>
        <v>100</v>
      </c>
      <c r="N13" s="314">
        <f>'ORC DOM_2025'!Y71</f>
        <v>400</v>
      </c>
      <c r="O13" s="314">
        <f t="shared" si="1"/>
        <v>4007.86</v>
      </c>
    </row>
    <row r="14" ht="12.75" customHeight="1">
      <c r="A14" s="315"/>
      <c r="B14" s="313" t="str">
        <f>'ORC DOM_2025'!A83</f>
        <v>EDUCAÇÃO</v>
      </c>
      <c r="C14" s="314">
        <f>'ORC DOM_2025'!C83</f>
        <v>0</v>
      </c>
      <c r="D14" s="314">
        <f>'ORC DOM_2025'!E83</f>
        <v>60</v>
      </c>
      <c r="E14" s="314">
        <f>'ORC DOM_2025'!G83</f>
        <v>60</v>
      </c>
      <c r="F14" s="314">
        <f>'ORC DOM_2025'!I83</f>
        <v>60</v>
      </c>
      <c r="G14" s="314">
        <f>'ORC DOM_2025'!K83</f>
        <v>60</v>
      </c>
      <c r="H14" s="314">
        <f>'ORC DOM_2025'!M83</f>
        <v>60</v>
      </c>
      <c r="I14" s="314">
        <f>'ORC DOM_2025'!O83</f>
        <v>60</v>
      </c>
      <c r="J14" s="314">
        <f>'ORC DOM_2025'!Q83</f>
        <v>60</v>
      </c>
      <c r="K14" s="314">
        <f>'ORC DOM_2025'!S83</f>
        <v>60</v>
      </c>
      <c r="L14" s="314">
        <f>'ORC DOM_2025'!U83</f>
        <v>60</v>
      </c>
      <c r="M14" s="314">
        <f>'ORC DOM_2025'!W83</f>
        <v>60</v>
      </c>
      <c r="N14" s="314">
        <f>'ORC DOM_2025'!Y83</f>
        <v>60</v>
      </c>
      <c r="O14" s="314">
        <f t="shared" si="1"/>
        <v>660</v>
      </c>
    </row>
    <row r="15" ht="12.75" customHeight="1">
      <c r="A15" s="315"/>
      <c r="B15" s="313" t="str">
        <f>'ORC DOM_2025'!A89</f>
        <v>LAZER</v>
      </c>
      <c r="C15" s="314">
        <f>'ORC DOM_2025'!C89</f>
        <v>0</v>
      </c>
      <c r="D15" s="314">
        <f>'ORC DOM_2025'!E89</f>
        <v>80</v>
      </c>
      <c r="E15" s="314">
        <f>'ORC DOM_2025'!G89</f>
        <v>80</v>
      </c>
      <c r="F15" s="314">
        <f>'ORC DOM_2025'!I89</f>
        <v>80</v>
      </c>
      <c r="G15" s="314">
        <f>'ORC DOM_2025'!K89</f>
        <v>0</v>
      </c>
      <c r="H15" s="314">
        <f>'ORC DOM_2025'!M89</f>
        <v>0</v>
      </c>
      <c r="I15" s="314">
        <f>'ORC DOM_2025'!O89</f>
        <v>0</v>
      </c>
      <c r="J15" s="314">
        <f>'ORC DOM_2025'!Q89</f>
        <v>0</v>
      </c>
      <c r="K15" s="314">
        <f>'ORC DOM_2025'!S89</f>
        <v>0</v>
      </c>
      <c r="L15" s="314">
        <f>'ORC DOM_2025'!U89</f>
        <v>0</v>
      </c>
      <c r="M15" s="314">
        <f>'ORC DOM_2025'!W89</f>
        <v>0</v>
      </c>
      <c r="N15" s="314">
        <f>'ORC DOM_2025'!Y89</f>
        <v>0</v>
      </c>
      <c r="O15" s="314">
        <f t="shared" si="1"/>
        <v>240</v>
      </c>
    </row>
    <row r="16" ht="12.75" customHeight="1">
      <c r="A16" s="315"/>
      <c r="B16" s="313" t="str">
        <f>'ORC DOM_2025'!A96</f>
        <v>OUTROS</v>
      </c>
      <c r="C16" s="314">
        <f>'ORC DOM_2025'!C96</f>
        <v>56.16</v>
      </c>
      <c r="D16" s="314">
        <f>'ORC DOM_2025'!E96</f>
        <v>56.16</v>
      </c>
      <c r="E16" s="314">
        <f>'ORC DOM_2025'!G96</f>
        <v>56.16</v>
      </c>
      <c r="F16" s="314">
        <f>'ORC DOM_2025'!I96</f>
        <v>56.16</v>
      </c>
      <c r="G16" s="314">
        <f>'ORC DOM_2025'!K96</f>
        <v>52</v>
      </c>
      <c r="H16" s="314">
        <f>'ORC DOM_2025'!M96</f>
        <v>0</v>
      </c>
      <c r="I16" s="314">
        <f>'ORC DOM_2025'!O96</f>
        <v>0</v>
      </c>
      <c r="J16" s="314">
        <f>'ORC DOM_2025'!Q96</f>
        <v>0</v>
      </c>
      <c r="K16" s="314">
        <f>'ORC DOM_2025'!S96</f>
        <v>0</v>
      </c>
      <c r="L16" s="314">
        <f>'ORC DOM_2025'!U96</f>
        <v>0</v>
      </c>
      <c r="M16" s="314">
        <f>'ORC DOM_2025'!W96</f>
        <v>0</v>
      </c>
      <c r="N16" s="314">
        <f>'ORC DOM_2025'!Y96</f>
        <v>0</v>
      </c>
      <c r="O16" s="314">
        <f t="shared" si="1"/>
        <v>276.64</v>
      </c>
    </row>
    <row r="17" ht="12.75" customHeight="1">
      <c r="A17" s="3"/>
      <c r="B17" s="316"/>
      <c r="C17" s="317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</row>
    <row r="18" ht="12.75" customHeight="1">
      <c r="A18" s="3"/>
      <c r="B18" s="3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</row>
    <row r="19" ht="12.75" customHeight="1">
      <c r="A19" s="3"/>
      <c r="B19" s="3"/>
      <c r="C19" s="318"/>
      <c r="D19" s="318"/>
      <c r="E19" s="318"/>
      <c r="F19" s="318"/>
      <c r="G19" s="318"/>
      <c r="H19" s="240"/>
      <c r="I19" s="240"/>
      <c r="J19" s="240"/>
      <c r="K19" s="240"/>
      <c r="L19" s="240"/>
      <c r="M19" s="240"/>
      <c r="N19" s="240"/>
      <c r="O19" s="240"/>
    </row>
    <row r="20" ht="14.25" customHeight="1">
      <c r="A20" s="3"/>
      <c r="B20" s="311"/>
      <c r="C20" s="319" t="s">
        <v>302</v>
      </c>
      <c r="D20" s="319" t="s">
        <v>303</v>
      </c>
      <c r="E20" s="319" t="s">
        <v>304</v>
      </c>
      <c r="F20" s="319" t="s">
        <v>305</v>
      </c>
      <c r="G20" s="319" t="s">
        <v>136</v>
      </c>
      <c r="H20" s="320"/>
      <c r="I20" s="240"/>
      <c r="J20" s="240"/>
      <c r="K20" s="240"/>
      <c r="L20" s="240"/>
      <c r="M20" s="240"/>
      <c r="N20" s="240"/>
      <c r="O20" s="240"/>
    </row>
    <row r="21" ht="14.25" customHeight="1">
      <c r="A21" s="3"/>
      <c r="B21" s="313" t="s">
        <v>23</v>
      </c>
      <c r="C21" s="314">
        <f t="shared" ref="C21:C29" si="2">SUM(C8:E8)</f>
        <v>500</v>
      </c>
      <c r="D21" s="314">
        <f t="shared" ref="D21:D29" si="3">SUM(F8:H8)</f>
        <v>750</v>
      </c>
      <c r="E21" s="314">
        <f t="shared" ref="E21:E29" si="4">SUM(I8:K8)</f>
        <v>1750</v>
      </c>
      <c r="F21" s="314">
        <f t="shared" ref="F21:F29" si="5">SUM(L8:N8)</f>
        <v>1750</v>
      </c>
      <c r="G21" s="314">
        <f t="shared" ref="G21:G29" si="6">SUM(C21:F21)</f>
        <v>4750</v>
      </c>
      <c r="H21" s="320"/>
      <c r="I21" s="240"/>
      <c r="J21" s="240"/>
      <c r="K21" s="240"/>
      <c r="L21" s="240"/>
      <c r="M21" s="240"/>
      <c r="N21" s="240"/>
      <c r="O21" s="240"/>
    </row>
    <row r="22" ht="12.75" customHeight="1">
      <c r="A22" s="315"/>
      <c r="B22" s="313" t="s">
        <v>31</v>
      </c>
      <c r="C22" s="314">
        <f t="shared" si="2"/>
        <v>4373.5</v>
      </c>
      <c r="D22" s="314">
        <f t="shared" si="3"/>
        <v>4518</v>
      </c>
      <c r="E22" s="314">
        <f t="shared" si="4"/>
        <v>4518</v>
      </c>
      <c r="F22" s="314">
        <f t="shared" si="5"/>
        <v>4518</v>
      </c>
      <c r="G22" s="314">
        <f t="shared" si="6"/>
        <v>17927.5</v>
      </c>
      <c r="H22" s="320"/>
      <c r="I22" s="240"/>
      <c r="J22" s="240"/>
      <c r="K22" s="240"/>
      <c r="L22" s="240"/>
      <c r="M22" s="240"/>
      <c r="N22" s="240"/>
      <c r="O22" s="240"/>
    </row>
    <row r="23" ht="12.75" customHeight="1">
      <c r="A23" s="315"/>
      <c r="B23" s="313" t="s">
        <v>301</v>
      </c>
      <c r="C23" s="314">
        <f t="shared" si="2"/>
        <v>497.43</v>
      </c>
      <c r="D23" s="314">
        <f t="shared" si="3"/>
        <v>497.43</v>
      </c>
      <c r="E23" s="314">
        <f t="shared" si="4"/>
        <v>431.34</v>
      </c>
      <c r="F23" s="314">
        <f t="shared" si="5"/>
        <v>294.93</v>
      </c>
      <c r="G23" s="314">
        <f t="shared" si="6"/>
        <v>1721.13</v>
      </c>
      <c r="H23" s="320"/>
      <c r="I23" s="240"/>
      <c r="J23" s="240"/>
      <c r="K23" s="240"/>
      <c r="L23" s="240"/>
      <c r="M23" s="240"/>
      <c r="N23" s="240"/>
      <c r="O23" s="240"/>
    </row>
    <row r="24" ht="12.75" customHeight="1">
      <c r="A24" s="315"/>
      <c r="B24" s="313" t="s">
        <v>53</v>
      </c>
      <c r="C24" s="314">
        <f t="shared" si="2"/>
        <v>110</v>
      </c>
      <c r="D24" s="314">
        <f t="shared" si="3"/>
        <v>55</v>
      </c>
      <c r="E24" s="314">
        <f t="shared" si="4"/>
        <v>0</v>
      </c>
      <c r="F24" s="314">
        <f t="shared" si="5"/>
        <v>0</v>
      </c>
      <c r="G24" s="314">
        <f t="shared" si="6"/>
        <v>165</v>
      </c>
      <c r="H24" s="320"/>
      <c r="I24" s="240"/>
      <c r="J24" s="240"/>
      <c r="K24" s="240"/>
      <c r="L24" s="240"/>
      <c r="M24" s="240"/>
      <c r="N24" s="240"/>
      <c r="O24" s="240"/>
    </row>
    <row r="25" ht="12.75" customHeight="1">
      <c r="A25" s="315"/>
      <c r="B25" s="313" t="s">
        <v>59</v>
      </c>
      <c r="C25" s="314">
        <f t="shared" si="2"/>
        <v>417</v>
      </c>
      <c r="D25" s="314">
        <f t="shared" si="3"/>
        <v>525</v>
      </c>
      <c r="E25" s="314">
        <f t="shared" si="4"/>
        <v>615</v>
      </c>
      <c r="F25" s="314">
        <f t="shared" si="5"/>
        <v>539</v>
      </c>
      <c r="G25" s="314">
        <f t="shared" si="6"/>
        <v>2096</v>
      </c>
      <c r="H25" s="320"/>
      <c r="I25" s="240"/>
      <c r="J25" s="240"/>
      <c r="K25" s="240"/>
      <c r="L25" s="240"/>
      <c r="M25" s="240"/>
      <c r="N25" s="240"/>
      <c r="O25" s="240"/>
    </row>
    <row r="26" ht="12.75" customHeight="1">
      <c r="A26" s="315"/>
      <c r="B26" s="313" t="s">
        <v>71</v>
      </c>
      <c r="C26" s="314">
        <f t="shared" si="2"/>
        <v>1233.395</v>
      </c>
      <c r="D26" s="314">
        <f t="shared" si="3"/>
        <v>1034.465</v>
      </c>
      <c r="E26" s="314">
        <f t="shared" si="4"/>
        <v>720</v>
      </c>
      <c r="F26" s="314">
        <f t="shared" si="5"/>
        <v>1020</v>
      </c>
      <c r="G26" s="314">
        <f t="shared" si="6"/>
        <v>4007.86</v>
      </c>
      <c r="H26" s="320"/>
      <c r="I26" s="240"/>
      <c r="J26" s="240"/>
      <c r="K26" s="240"/>
      <c r="L26" s="240"/>
      <c r="M26" s="240"/>
      <c r="N26" s="240"/>
      <c r="O26" s="240"/>
    </row>
    <row r="27" ht="12.75" customHeight="1">
      <c r="A27" s="315"/>
      <c r="B27" s="313" t="s">
        <v>82</v>
      </c>
      <c r="C27" s="314">
        <f t="shared" si="2"/>
        <v>120</v>
      </c>
      <c r="D27" s="314">
        <f t="shared" si="3"/>
        <v>180</v>
      </c>
      <c r="E27" s="314">
        <f t="shared" si="4"/>
        <v>180</v>
      </c>
      <c r="F27" s="314">
        <f t="shared" si="5"/>
        <v>180</v>
      </c>
      <c r="G27" s="314">
        <f t="shared" si="6"/>
        <v>660</v>
      </c>
      <c r="H27" s="320"/>
      <c r="I27" s="240"/>
      <c r="J27" s="240"/>
      <c r="K27" s="240"/>
      <c r="L27" s="240"/>
      <c r="M27" s="240"/>
      <c r="N27" s="240"/>
      <c r="O27" s="240"/>
    </row>
    <row r="28" ht="12.75" customHeight="1">
      <c r="A28" s="315"/>
      <c r="B28" s="313" t="s">
        <v>87</v>
      </c>
      <c r="C28" s="314">
        <f t="shared" si="2"/>
        <v>160</v>
      </c>
      <c r="D28" s="314">
        <f t="shared" si="3"/>
        <v>80</v>
      </c>
      <c r="E28" s="314">
        <f t="shared" si="4"/>
        <v>0</v>
      </c>
      <c r="F28" s="314">
        <f t="shared" si="5"/>
        <v>0</v>
      </c>
      <c r="G28" s="314">
        <f t="shared" si="6"/>
        <v>240</v>
      </c>
      <c r="H28" s="320"/>
      <c r="I28" s="240"/>
      <c r="J28" s="240"/>
      <c r="K28" s="240"/>
      <c r="L28" s="240"/>
      <c r="M28" s="240"/>
      <c r="N28" s="240"/>
      <c r="O28" s="240"/>
    </row>
    <row r="29" ht="12.75" customHeight="1">
      <c r="A29" s="315"/>
      <c r="B29" s="313" t="s">
        <v>94</v>
      </c>
      <c r="C29" s="314">
        <f t="shared" si="2"/>
        <v>168.48</v>
      </c>
      <c r="D29" s="314">
        <f t="shared" si="3"/>
        <v>108.16</v>
      </c>
      <c r="E29" s="314">
        <f t="shared" si="4"/>
        <v>0</v>
      </c>
      <c r="F29" s="314">
        <f t="shared" si="5"/>
        <v>0</v>
      </c>
      <c r="G29" s="314">
        <f t="shared" si="6"/>
        <v>276.64</v>
      </c>
      <c r="H29" s="320"/>
      <c r="I29" s="240"/>
      <c r="J29" s="240"/>
      <c r="K29" s="240"/>
      <c r="L29" s="240"/>
      <c r="M29" s="240"/>
      <c r="N29" s="240"/>
      <c r="O29" s="240"/>
    </row>
    <row r="30" ht="12.75" customHeight="1">
      <c r="A30" s="3"/>
      <c r="B30" s="313" t="s">
        <v>136</v>
      </c>
      <c r="C30" s="314">
        <f t="shared" ref="C30:G30" si="7">SUM(C21:C29)</f>
        <v>7579.805</v>
      </c>
      <c r="D30" s="314">
        <f t="shared" si="7"/>
        <v>7748.055</v>
      </c>
      <c r="E30" s="314">
        <f t="shared" si="7"/>
        <v>8214.34</v>
      </c>
      <c r="F30" s="314">
        <f t="shared" si="7"/>
        <v>8301.93</v>
      </c>
      <c r="G30" s="314">
        <f t="shared" si="7"/>
        <v>31844.13</v>
      </c>
      <c r="H30" s="320"/>
      <c r="I30" s="240"/>
      <c r="J30" s="240"/>
      <c r="K30" s="240"/>
      <c r="L30" s="240"/>
      <c r="M30" s="240"/>
      <c r="N30" s="240"/>
      <c r="O30" s="240"/>
    </row>
    <row r="31" ht="12.75" customHeight="1">
      <c r="A31" s="3"/>
      <c r="B31" s="3"/>
      <c r="C31" s="316"/>
      <c r="D31" s="316"/>
      <c r="E31" s="316"/>
      <c r="F31" s="316"/>
      <c r="G31" s="316"/>
      <c r="H31" s="3"/>
      <c r="I31" s="3"/>
      <c r="J31" s="3"/>
      <c r="K31" s="3"/>
      <c r="L31" s="3"/>
      <c r="M31" s="3"/>
      <c r="N31" s="3"/>
      <c r="O31" s="3"/>
    </row>
    <row r="32" ht="12.75" customHeight="1">
      <c r="A32" s="3"/>
      <c r="B32" s="3"/>
      <c r="C32" s="321"/>
      <c r="D32" s="321"/>
      <c r="E32" s="321"/>
      <c r="F32" s="321"/>
      <c r="G32" s="321"/>
      <c r="H32" s="3"/>
      <c r="I32" s="3"/>
      <c r="J32" s="3"/>
      <c r="K32" s="3"/>
      <c r="L32" s="3"/>
      <c r="M32" s="3"/>
      <c r="N32" s="3"/>
      <c r="O32" s="3"/>
    </row>
    <row r="33" ht="14.25" customHeight="1">
      <c r="A33" s="3"/>
      <c r="B33" s="311"/>
      <c r="C33" s="312" t="s">
        <v>302</v>
      </c>
      <c r="D33" s="312" t="s">
        <v>303</v>
      </c>
      <c r="E33" s="312" t="s">
        <v>304</v>
      </c>
      <c r="F33" s="312" t="s">
        <v>305</v>
      </c>
      <c r="G33" s="312" t="s">
        <v>136</v>
      </c>
      <c r="H33" s="322"/>
      <c r="I33" s="3"/>
      <c r="J33" s="3"/>
      <c r="K33" s="3"/>
      <c r="L33" s="3"/>
      <c r="M33" s="3"/>
      <c r="N33" s="3"/>
      <c r="O33" s="3"/>
    </row>
    <row r="34" ht="14.25" customHeight="1">
      <c r="A34" s="3"/>
      <c r="B34" s="313" t="s">
        <v>306</v>
      </c>
      <c r="C34" s="323">
        <f t="shared" ref="C34:G34" si="8">C21/C$30</f>
        <v>0.06596475767</v>
      </c>
      <c r="D34" s="323">
        <f t="shared" si="8"/>
        <v>0.09679848685</v>
      </c>
      <c r="E34" s="323">
        <f t="shared" si="8"/>
        <v>0.2130420703</v>
      </c>
      <c r="F34" s="323">
        <f t="shared" si="8"/>
        <v>0.2107943575</v>
      </c>
      <c r="G34" s="323">
        <f t="shared" si="8"/>
        <v>0.1491640689</v>
      </c>
      <c r="H34" s="322"/>
      <c r="I34" s="3"/>
      <c r="J34" s="3"/>
      <c r="K34" s="3"/>
      <c r="L34" s="3"/>
      <c r="M34" s="3"/>
      <c r="N34" s="3"/>
      <c r="O34" s="3"/>
    </row>
    <row r="35" ht="12.75" customHeight="1">
      <c r="A35" s="315"/>
      <c r="B35" s="313" t="s">
        <v>31</v>
      </c>
      <c r="C35" s="323">
        <f t="shared" ref="C35:G35" si="9">C22/C$30</f>
        <v>0.5769937353</v>
      </c>
      <c r="D35" s="323">
        <f t="shared" si="9"/>
        <v>0.5831140848</v>
      </c>
      <c r="E35" s="323">
        <f t="shared" si="9"/>
        <v>0.5500137564</v>
      </c>
      <c r="F35" s="323">
        <f t="shared" si="9"/>
        <v>0.544210804</v>
      </c>
      <c r="G35" s="323">
        <f t="shared" si="9"/>
        <v>0.5629765988</v>
      </c>
      <c r="H35" s="322"/>
      <c r="I35" s="3"/>
      <c r="J35" s="3"/>
      <c r="K35" s="3"/>
      <c r="L35" s="3"/>
      <c r="M35" s="3"/>
      <c r="N35" s="3"/>
      <c r="O35" s="3"/>
    </row>
    <row r="36" ht="12.75" customHeight="1">
      <c r="A36" s="315"/>
      <c r="B36" s="313" t="s">
        <v>301</v>
      </c>
      <c r="C36" s="323">
        <f t="shared" ref="C36:G36" si="10">C23/C$30</f>
        <v>0.06562569881</v>
      </c>
      <c r="D36" s="323">
        <f t="shared" si="10"/>
        <v>0.06420062842</v>
      </c>
      <c r="E36" s="323">
        <f t="shared" si="10"/>
        <v>0.0525106095</v>
      </c>
      <c r="F36" s="323">
        <f t="shared" si="10"/>
        <v>0.0355254742</v>
      </c>
      <c r="G36" s="323">
        <f t="shared" si="10"/>
        <v>0.05404857975</v>
      </c>
      <c r="H36" s="322"/>
      <c r="I36" s="3"/>
      <c r="J36" s="3"/>
      <c r="K36" s="3"/>
      <c r="L36" s="3"/>
      <c r="M36" s="3"/>
      <c r="N36" s="3"/>
      <c r="O36" s="3"/>
    </row>
    <row r="37" ht="12.75" customHeight="1">
      <c r="A37" s="315"/>
      <c r="B37" s="313" t="s">
        <v>53</v>
      </c>
      <c r="C37" s="323">
        <f t="shared" ref="C37:G37" si="11">C24/C$30</f>
        <v>0.01451224669</v>
      </c>
      <c r="D37" s="323">
        <f t="shared" si="11"/>
        <v>0.007098555702</v>
      </c>
      <c r="E37" s="323">
        <f t="shared" si="11"/>
        <v>0</v>
      </c>
      <c r="F37" s="323">
        <f t="shared" si="11"/>
        <v>0</v>
      </c>
      <c r="G37" s="323">
        <f t="shared" si="11"/>
        <v>0.005181488708</v>
      </c>
      <c r="H37" s="322"/>
      <c r="I37" s="3"/>
      <c r="J37" s="3"/>
      <c r="K37" s="3"/>
      <c r="L37" s="3"/>
      <c r="M37" s="3"/>
      <c r="N37" s="3"/>
      <c r="O37" s="3"/>
    </row>
    <row r="38" ht="12.75" customHeight="1">
      <c r="A38" s="315"/>
      <c r="B38" s="313" t="s">
        <v>59</v>
      </c>
      <c r="C38" s="323">
        <f t="shared" ref="C38:G38" si="12">C25/C$30</f>
        <v>0.0550146079</v>
      </c>
      <c r="D38" s="323">
        <f t="shared" si="12"/>
        <v>0.06775894079</v>
      </c>
      <c r="E38" s="323">
        <f t="shared" si="12"/>
        <v>0.07486907043</v>
      </c>
      <c r="F38" s="323">
        <f t="shared" si="12"/>
        <v>0.0649246621</v>
      </c>
      <c r="G38" s="323">
        <f t="shared" si="12"/>
        <v>0.06582060807</v>
      </c>
      <c r="H38" s="322"/>
      <c r="I38" s="3"/>
      <c r="J38" s="3"/>
      <c r="K38" s="3"/>
      <c r="L38" s="3"/>
      <c r="M38" s="3"/>
      <c r="N38" s="3"/>
      <c r="O38" s="3"/>
    </row>
    <row r="39" ht="12.75" customHeight="1">
      <c r="A39" s="315"/>
      <c r="B39" s="313" t="s">
        <v>71</v>
      </c>
      <c r="C39" s="323">
        <f t="shared" ref="C39:G39" si="13">C26/C$30</f>
        <v>0.1627212046</v>
      </c>
      <c r="D39" s="323">
        <f t="shared" si="13"/>
        <v>0.1335128623</v>
      </c>
      <c r="E39" s="323">
        <f t="shared" si="13"/>
        <v>0.08765159465</v>
      </c>
      <c r="F39" s="323">
        <f t="shared" si="13"/>
        <v>0.1228629969</v>
      </c>
      <c r="G39" s="323">
        <f t="shared" si="13"/>
        <v>0.1258586747</v>
      </c>
      <c r="H39" s="322"/>
      <c r="I39" s="3"/>
      <c r="J39" s="3"/>
      <c r="K39" s="3"/>
      <c r="L39" s="3"/>
      <c r="M39" s="3"/>
      <c r="N39" s="3"/>
      <c r="O39" s="3"/>
    </row>
    <row r="40" ht="12.75" customHeight="1">
      <c r="A40" s="315"/>
      <c r="B40" s="313" t="s">
        <v>82</v>
      </c>
      <c r="C40" s="323">
        <f t="shared" ref="C40:G40" si="14">C27/C$30</f>
        <v>0.01583154184</v>
      </c>
      <c r="D40" s="323">
        <f t="shared" si="14"/>
        <v>0.02323163684</v>
      </c>
      <c r="E40" s="323">
        <f t="shared" si="14"/>
        <v>0.02191289866</v>
      </c>
      <c r="F40" s="323">
        <f t="shared" si="14"/>
        <v>0.02168170534</v>
      </c>
      <c r="G40" s="323">
        <f t="shared" si="14"/>
        <v>0.02072595483</v>
      </c>
      <c r="H40" s="322"/>
      <c r="I40" s="3"/>
      <c r="J40" s="3"/>
      <c r="K40" s="3"/>
      <c r="L40" s="3"/>
      <c r="M40" s="3"/>
      <c r="N40" s="3"/>
      <c r="O40" s="3"/>
    </row>
    <row r="41" ht="12.75" customHeight="1">
      <c r="A41" s="315"/>
      <c r="B41" s="313" t="s">
        <v>87</v>
      </c>
      <c r="C41" s="323">
        <f t="shared" ref="C41:G41" si="15">C28/C$30</f>
        <v>0.02110872245</v>
      </c>
      <c r="D41" s="323">
        <f t="shared" si="15"/>
        <v>0.01032517193</v>
      </c>
      <c r="E41" s="323">
        <f t="shared" si="15"/>
        <v>0</v>
      </c>
      <c r="F41" s="323">
        <f t="shared" si="15"/>
        <v>0</v>
      </c>
      <c r="G41" s="323">
        <f t="shared" si="15"/>
        <v>0.007536710847</v>
      </c>
      <c r="H41" s="322"/>
      <c r="I41" s="3"/>
      <c r="J41" s="3"/>
      <c r="K41" s="3"/>
      <c r="L41" s="3"/>
      <c r="M41" s="3"/>
      <c r="N41" s="3"/>
      <c r="O41" s="3"/>
    </row>
    <row r="42" ht="12.75" customHeight="1">
      <c r="A42" s="315"/>
      <c r="B42" s="313" t="s">
        <v>94</v>
      </c>
      <c r="C42" s="323">
        <f t="shared" ref="C42:G42" si="16">C29/C$30</f>
        <v>0.02222748474</v>
      </c>
      <c r="D42" s="323">
        <f t="shared" si="16"/>
        <v>0.01395963245</v>
      </c>
      <c r="E42" s="323">
        <f t="shared" si="16"/>
        <v>0</v>
      </c>
      <c r="F42" s="323">
        <f t="shared" si="16"/>
        <v>0</v>
      </c>
      <c r="G42" s="323">
        <f t="shared" si="16"/>
        <v>0.00868731537</v>
      </c>
      <c r="H42" s="322"/>
      <c r="I42" s="3"/>
      <c r="J42" s="3"/>
      <c r="K42" s="3"/>
      <c r="L42" s="3"/>
      <c r="M42" s="3"/>
      <c r="N42" s="3"/>
      <c r="O42" s="3"/>
    </row>
    <row r="43" ht="12.75" customHeight="1">
      <c r="A43" s="3"/>
      <c r="B43" s="316"/>
      <c r="C43" s="324">
        <f t="shared" ref="C43:G43" si="17">SUM(C35:C42)</f>
        <v>0.9340352423</v>
      </c>
      <c r="D43" s="324">
        <f t="shared" si="17"/>
        <v>0.9032015132</v>
      </c>
      <c r="E43" s="324">
        <f t="shared" si="17"/>
        <v>0.7869579297</v>
      </c>
      <c r="F43" s="324">
        <f t="shared" si="17"/>
        <v>0.7892056425</v>
      </c>
      <c r="G43" s="324">
        <f t="shared" si="17"/>
        <v>0.8508359311</v>
      </c>
      <c r="H43" s="3"/>
      <c r="I43" s="3"/>
      <c r="J43" s="3"/>
      <c r="K43" s="3"/>
      <c r="L43" s="3"/>
      <c r="M43" s="3"/>
      <c r="N43" s="3"/>
      <c r="O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2.75" customHeight="1">
      <c r="A46" s="3"/>
      <c r="B46" s="312" t="str">
        <f>'ORC DOM_2025'!A22</f>
        <v>BOLETO PESSOAL </v>
      </c>
      <c r="C46" s="32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2.75" customHeight="1">
      <c r="A47" s="3"/>
      <c r="B47" s="313" t="str">
        <f>'ORC DOM_2025'!A23</f>
        <v>META - 1 ano ( pagar divida bitcoin)</v>
      </c>
      <c r="C47" s="314">
        <f>'ORC DOM_2025'!Z23</f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2.75" customHeight="1">
      <c r="A48" s="3"/>
      <c r="B48" s="313" t="str">
        <f>'ORC DOM_2025'!A24</f>
        <v>META - 1 ano (quitação do carro) </v>
      </c>
      <c r="C48" s="314">
        <f>'ORC DOM_2025'!Z24</f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2.75" customHeight="1">
      <c r="A49" s="3"/>
      <c r="B49" s="313" t="str">
        <f>'ORC DOM_2025'!A26</f>
        <v>META - 8 meses ( Férias Verão)</v>
      </c>
      <c r="C49" s="314">
        <f>'ORC DOM_2025'!Z26</f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2.75" customHeight="1">
      <c r="A50" s="3"/>
      <c r="B50" s="313" t="str">
        <f>'ORC DOM_2025'!A27</f>
        <v>METONA ( Casa Própria - 10 anos )</v>
      </c>
      <c r="C50" s="314">
        <f>'ORC DOM_2025'!Z27</f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2.75" customHeight="1">
      <c r="A51" s="3"/>
      <c r="B51" s="313" t="str">
        <f>'ORC DOM_2025'!A28</f>
        <v>METAZONA ( Aposentadoria - 30 anos )</v>
      </c>
      <c r="C51" s="314">
        <f>'ORC DOM_2025'!Z28</f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2.75" customHeight="1">
      <c r="A52" s="3"/>
      <c r="B52" s="321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21"/>
    </row>
    <row r="53" ht="12.75" customHeight="1">
      <c r="A53" s="315"/>
      <c r="B53" s="312" t="str">
        <f>'ORC DOM_2025'!A31</f>
        <v>HABITAÇÃO</v>
      </c>
      <c r="C53" s="325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21"/>
    </row>
    <row r="54" ht="12.75" customHeight="1">
      <c r="A54" s="315"/>
      <c r="B54" s="313" t="str">
        <f>'ORC DOM_2025'!A32</f>
        <v>Aluguel</v>
      </c>
      <c r="C54" s="314">
        <f>'ORC DOM_2025'!Z32</f>
        <v>8400</v>
      </c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21"/>
    </row>
    <row r="55" ht="12.75" customHeight="1">
      <c r="A55" s="315"/>
      <c r="B55" s="313" t="str">
        <f>'ORC DOM_2025'!A33</f>
        <v>Condomínio</v>
      </c>
      <c r="C55" s="314">
        <f>'ORC DOM_2025'!Z33</f>
        <v>0</v>
      </c>
      <c r="D55" s="32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21"/>
    </row>
    <row r="56" ht="12.75" customHeight="1">
      <c r="A56" s="315"/>
      <c r="B56" s="313" t="str">
        <f>'ORC DOM_2025'!A34</f>
        <v>IPTU</v>
      </c>
      <c r="C56" s="314">
        <f>'ORC DOM_2025'!Z34</f>
        <v>0</v>
      </c>
      <c r="D56" s="32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21"/>
    </row>
    <row r="57" ht="12.75" customHeight="1">
      <c r="A57" s="315"/>
      <c r="B57" s="313" t="str">
        <f>'ORC DOM_2025'!A35</f>
        <v>Conta de água</v>
      </c>
      <c r="C57" s="314">
        <f>'ORC DOM_2025'!Z35</f>
        <v>555</v>
      </c>
      <c r="D57" s="32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21"/>
    </row>
    <row r="58" ht="12.75" customHeight="1">
      <c r="A58" s="315"/>
      <c r="B58" s="313" t="str">
        <f>'ORC DOM_2025'!A36</f>
        <v>Conta de energia - 09</v>
      </c>
      <c r="C58" s="314">
        <f>'ORC DOM_2025'!Z36</f>
        <v>416.02</v>
      </c>
      <c r="D58" s="32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21"/>
    </row>
    <row r="59" ht="12.75" customHeight="1">
      <c r="A59" s="315"/>
      <c r="B59" s="313" t="str">
        <f>'ORC DOM_2025'!A37</f>
        <v>Seguro Residencial</v>
      </c>
      <c r="C59" s="314">
        <f>'ORC DOM_2025'!Z37</f>
        <v>0</v>
      </c>
      <c r="D59" s="32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21"/>
    </row>
    <row r="60" ht="12.75" customHeight="1">
      <c r="A60" s="315"/>
      <c r="B60" s="313" t="str">
        <f>'ORC DOM_2025'!A38</f>
        <v>Conta de gás</v>
      </c>
      <c r="C60" s="314">
        <f>'ORC DOM_2025'!Z38</f>
        <v>414.48</v>
      </c>
      <c r="D60" s="32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21"/>
    </row>
    <row r="61" ht="12.75" customHeight="1">
      <c r="A61" s="315"/>
      <c r="B61" s="313" t="str">
        <f>'ORC DOM_2025'!A39</f>
        <v>Celular+TV+internet</v>
      </c>
      <c r="C61" s="314">
        <f>'ORC DOM_2025'!Z39</f>
        <v>432</v>
      </c>
      <c r="D61" s="32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21"/>
    </row>
    <row r="62" ht="12.75" customHeight="1">
      <c r="A62" s="315"/>
      <c r="B62" s="313" t="str">
        <f>'ORC DOM_2025'!A40</f>
        <v>Celular</v>
      </c>
      <c r="C62" s="314">
        <f>'ORC DOM_2025'!Z40</f>
        <v>0</v>
      </c>
      <c r="D62" s="32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21"/>
    </row>
    <row r="63" ht="12.75" customHeight="1">
      <c r="A63" s="315"/>
      <c r="B63" s="313" t="str">
        <f>'ORC DOM_2025'!A41</f>
        <v>Amazon Prime / Netflix </v>
      </c>
      <c r="C63" s="314">
        <f>'ORC DOM_2025'!Z41</f>
        <v>60</v>
      </c>
      <c r="D63" s="32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21"/>
    </row>
    <row r="64" ht="12.75" customHeight="1">
      <c r="A64" s="315"/>
      <c r="B64" s="313" t="str">
        <f>'ORC DOM_2025'!A42</f>
        <v>Supermercado</v>
      </c>
      <c r="C64" s="314">
        <f>'ORC DOM_2025'!Z42</f>
        <v>4800</v>
      </c>
      <c r="D64" s="32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21"/>
    </row>
    <row r="65" ht="12.75" customHeight="1">
      <c r="A65" s="315"/>
      <c r="B65" s="313" t="str">
        <f>'ORC DOM_2025'!A43</f>
        <v>Feira</v>
      </c>
      <c r="C65" s="314">
        <f>'ORC DOM_2025'!Z43</f>
        <v>550</v>
      </c>
      <c r="D65" s="32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21"/>
    </row>
    <row r="66" ht="12.75" customHeight="1">
      <c r="A66" s="315"/>
      <c r="B66" s="313" t="str">
        <f>'ORC DOM_2025'!A44</f>
        <v>Açougue</v>
      </c>
      <c r="C66" s="314">
        <f>'ORC DOM_2025'!Z44</f>
        <v>2300</v>
      </c>
      <c r="D66" s="32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21"/>
    </row>
    <row r="67" ht="12.75" customHeight="1">
      <c r="A67" s="315"/>
      <c r="B67" s="313" t="str">
        <f>'ORC DOM_2025'!A45</f>
        <v>Faxineira</v>
      </c>
      <c r="C67" s="314">
        <f>'ORC DOM_2025'!Z45</f>
        <v>0</v>
      </c>
      <c r="D67" s="32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21"/>
    </row>
    <row r="68" ht="15.75" customHeight="1">
      <c r="A68" s="315"/>
      <c r="B68" s="316"/>
      <c r="C68" s="317"/>
      <c r="D68" s="32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21"/>
    </row>
    <row r="69" ht="15.75" customHeight="1">
      <c r="A69" s="3"/>
      <c r="B69" s="3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21"/>
    </row>
    <row r="70" ht="15.75" customHeight="1">
      <c r="A70" s="3"/>
      <c r="B70" s="312" t="str">
        <f>'ORC DOM_2025'!A46</f>
        <v>DIVÍDAS </v>
      </c>
      <c r="C70" s="325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21"/>
    </row>
    <row r="71" ht="15.75" customHeight="1">
      <c r="A71" s="3"/>
      <c r="B71" s="313" t="str">
        <f>'ORC DOM_2025'!A47</f>
        <v>Financiamento carro</v>
      </c>
      <c r="C71" s="314">
        <f>'ORC DOM_2025'!Z47</f>
        <v>1238.22</v>
      </c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21"/>
    </row>
    <row r="72" ht="15.75" customHeight="1">
      <c r="A72" s="3"/>
      <c r="B72" s="313" t="str">
        <f>'ORC DOM_2025'!A48</f>
        <v>Cheque especial </v>
      </c>
      <c r="C72" s="314">
        <f>'ORC DOM_2025'!Z48</f>
        <v>0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21"/>
    </row>
    <row r="73" ht="15.75" customHeight="1">
      <c r="A73" s="3"/>
      <c r="B73" s="313" t="str">
        <f>'ORC DOM_2025'!A49</f>
        <v>Empréstimo consignado </v>
      </c>
      <c r="C73" s="314">
        <f>'ORC DOM_2025'!Z49</f>
        <v>0</v>
      </c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21"/>
    </row>
    <row r="74" ht="15.75" customHeight="1">
      <c r="A74" s="3"/>
      <c r="B74" s="313" t="str">
        <f>'ORC DOM_2025'!A50</f>
        <v>Cartão de crédito em atraso </v>
      </c>
      <c r="C74" s="314">
        <f>'ORC DOM_2025'!Z50</f>
        <v>0</v>
      </c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21"/>
    </row>
    <row r="75" ht="15.75" customHeight="1">
      <c r="A75" s="3"/>
      <c r="B75" s="313" t="str">
        <f>'ORC DOM_2025'!A51</f>
        <v>Tributos atrasados </v>
      </c>
      <c r="C75" s="314">
        <f>'ORC DOM_2025'!Z51</f>
        <v>0</v>
      </c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21"/>
    </row>
    <row r="76" ht="15.75" customHeight="1">
      <c r="A76" s="3"/>
      <c r="B76" s="313" t="str">
        <f>'ORC DOM_2025'!A52</f>
        <v>Outros (IPCA)</v>
      </c>
      <c r="C76" s="314">
        <f>'ORC DOM_2025'!Z52</f>
        <v>482.91</v>
      </c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21"/>
    </row>
    <row r="77" ht="15.75" customHeight="1">
      <c r="A77" s="3"/>
      <c r="B77" s="3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21"/>
    </row>
    <row r="78" ht="12.75" customHeight="1">
      <c r="A78" s="3"/>
      <c r="B78" s="321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21"/>
    </row>
    <row r="79" ht="12.75" customHeight="1">
      <c r="A79" s="3"/>
      <c r="B79" s="312" t="str">
        <f>'ORC DOM_2025'!A53</f>
        <v>SAÚDE</v>
      </c>
      <c r="C79" s="325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21"/>
    </row>
    <row r="80" ht="12.75" customHeight="1">
      <c r="A80" s="315"/>
      <c r="B80" s="313" t="str">
        <f>'ORC DOM_2025'!A54</f>
        <v>Plano de Saúde</v>
      </c>
      <c r="C80" s="314">
        <f>'ORC DOM_2025'!Z54</f>
        <v>165</v>
      </c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21"/>
    </row>
    <row r="81" ht="12.75" customHeight="1">
      <c r="A81" s="315"/>
      <c r="B81" s="313" t="str">
        <f>'ORC DOM_2025'!A55</f>
        <v>Médicos e terapeutas</v>
      </c>
      <c r="C81" s="314">
        <f>'ORC DOM_2025'!Z55</f>
        <v>0</v>
      </c>
      <c r="D81" s="32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21"/>
    </row>
    <row r="82" ht="12.75" customHeight="1">
      <c r="A82" s="315"/>
      <c r="B82" s="313" t="str">
        <f>'ORC DOM_2025'!A56</f>
        <v>Dentista</v>
      </c>
      <c r="C82" s="314">
        <f>'ORC DOM_2025'!Z56</f>
        <v>0</v>
      </c>
      <c r="D82" s="32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21"/>
    </row>
    <row r="83" ht="12.75" customHeight="1">
      <c r="A83" s="315"/>
      <c r="B83" s="313" t="str">
        <f>'ORC DOM_2025'!A57</f>
        <v>Farmácia</v>
      </c>
      <c r="C83" s="314">
        <f>'ORC DOM_2025'!Z57</f>
        <v>0</v>
      </c>
      <c r="D83" s="32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21"/>
    </row>
    <row r="84" ht="12.75" customHeight="1">
      <c r="A84" s="315"/>
      <c r="B84" s="313" t="str">
        <f>'ORC DOM_2025'!A58</f>
        <v>Outros, se houver</v>
      </c>
      <c r="C84" s="314">
        <f>'ORC DOM_2025'!Z58</f>
        <v>0</v>
      </c>
      <c r="D84" s="32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21"/>
    </row>
    <row r="85" ht="12.75" customHeight="1">
      <c r="A85" s="315"/>
      <c r="B85" s="316"/>
      <c r="C85" s="317"/>
      <c r="D85" s="32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21"/>
    </row>
    <row r="86" ht="12.75" customHeight="1">
      <c r="A86" s="3"/>
      <c r="B86" s="321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21"/>
    </row>
    <row r="87" ht="12.75" customHeight="1">
      <c r="A87" s="3"/>
      <c r="B87" s="312" t="str">
        <f>'ORC DOM_2025'!A59</f>
        <v>TRANSPORTE</v>
      </c>
      <c r="C87" s="325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21"/>
    </row>
    <row r="88" ht="12.75" customHeight="1">
      <c r="A88" s="315"/>
      <c r="B88" s="313" t="str">
        <f>'ORC DOM_2025'!A60</f>
        <v>Licenciamento + multas</v>
      </c>
      <c r="C88" s="314">
        <f>'ORC DOM_2025'!Z60</f>
        <v>0</v>
      </c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21"/>
    </row>
    <row r="89" ht="12.75" customHeight="1">
      <c r="A89" s="315"/>
      <c r="B89" s="313" t="str">
        <f>'ORC DOM_2025'!A61</f>
        <v>IUC</v>
      </c>
      <c r="C89" s="314">
        <f>'ORC DOM_2025'!Z61</f>
        <v>270</v>
      </c>
      <c r="D89" s="32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21"/>
    </row>
    <row r="90" ht="12.75" customHeight="1">
      <c r="A90" s="315"/>
      <c r="B90" s="313" t="str">
        <f>'ORC DOM_2025'!A62</f>
        <v>Seguro</v>
      </c>
      <c r="C90" s="314">
        <f>'ORC DOM_2025'!Z62</f>
        <v>288</v>
      </c>
      <c r="D90" s="32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21"/>
    </row>
    <row r="91" ht="12.75" customHeight="1">
      <c r="A91" s="315"/>
      <c r="B91" s="313" t="str">
        <f>'ORC DOM_2025'!A63</f>
        <v>Combustível/metro</v>
      </c>
      <c r="C91" s="314">
        <f>'ORC DOM_2025'!Z63</f>
        <v>480</v>
      </c>
      <c r="D91" s="32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21"/>
    </row>
    <row r="92" ht="12.75" customHeight="1">
      <c r="A92" s="315"/>
      <c r="B92" s="313" t="str">
        <f>'ORC DOM_2025'!A64</f>
        <v>Cartao Andante</v>
      </c>
      <c r="C92" s="314">
        <f>'ORC DOM_2025'!Z64</f>
        <v>480</v>
      </c>
      <c r="D92" s="32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21"/>
    </row>
    <row r="93" ht="12.75" customHeight="1">
      <c r="A93" s="315"/>
      <c r="B93" s="313" t="str">
        <f>'ORC DOM_2025'!A65</f>
        <v>Lavagens</v>
      </c>
      <c r="C93" s="314">
        <f>'ORC DOM_2025'!Z65</f>
        <v>198</v>
      </c>
      <c r="D93" s="32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21"/>
    </row>
    <row r="94" ht="12.75" customHeight="1">
      <c r="A94" s="315"/>
      <c r="B94" s="313" t="str">
        <f>'ORC DOM_2025'!A66</f>
        <v>Mecânico / Certificacao anual</v>
      </c>
      <c r="C94" s="314">
        <f>'ORC DOM_2025'!Z66</f>
        <v>200</v>
      </c>
      <c r="D94" s="32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21"/>
    </row>
    <row r="95" ht="12.75" customHeight="1">
      <c r="A95" s="315"/>
      <c r="B95" s="313" t="str">
        <f>'ORC DOM_2025'!A67</f>
        <v>Multas</v>
      </c>
      <c r="C95" s="314">
        <f>'ORC DOM_2025'!Z67</f>
        <v>0</v>
      </c>
      <c r="D95" s="32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21"/>
    </row>
    <row r="96" ht="12.75" customHeight="1">
      <c r="A96" s="315"/>
      <c r="B96" s="313" t="str">
        <f>'ORC DOM_2025'!A68</f>
        <v>Pedágios + tag</v>
      </c>
      <c r="C96" s="314">
        <f>'ORC DOM_2025'!Z68</f>
        <v>180</v>
      </c>
      <c r="D96" s="32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21"/>
    </row>
    <row r="97" ht="12.75" customHeight="1">
      <c r="A97" s="315"/>
      <c r="B97" s="313" t="str">
        <f>'ORC DOM_2025'!A69</f>
        <v>Táxi</v>
      </c>
      <c r="C97" s="314">
        <f>'ORC DOM_2025'!Z69</f>
        <v>0</v>
      </c>
      <c r="D97" s="32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21"/>
    </row>
    <row r="98" ht="12.75" customHeight="1">
      <c r="A98" s="315"/>
      <c r="B98" s="313" t="str">
        <f>'ORC DOM_2025'!A70</f>
        <v>Apps de carro</v>
      </c>
      <c r="C98" s="314">
        <f>'ORC DOM_2025'!Z70</f>
        <v>0</v>
      </c>
      <c r="D98" s="32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21"/>
    </row>
    <row r="99" ht="12.75" customHeight="1">
      <c r="A99" s="315"/>
      <c r="B99" s="316"/>
      <c r="C99" s="317"/>
      <c r="D99" s="32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21"/>
    </row>
    <row r="100" ht="12.75" customHeight="1">
      <c r="A100" s="3"/>
      <c r="B100" s="321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21"/>
    </row>
    <row r="101" ht="12.75" customHeight="1">
      <c r="A101" s="3"/>
      <c r="B101" s="312" t="str">
        <f>'ORC DOM_2025'!A71</f>
        <v>DESPESAS PESSOAIS</v>
      </c>
      <c r="C101" s="325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21"/>
    </row>
    <row r="102" ht="12.75" customHeight="1">
      <c r="A102" s="3"/>
      <c r="B102" s="313" t="str">
        <f>'ORC DOM_2025'!A86</f>
        <v>Mestrado IPCA</v>
      </c>
      <c r="C102" s="314">
        <f>'ORC DOM_2025'!Z86</f>
        <v>0</v>
      </c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21"/>
    </row>
    <row r="103" ht="12.75" customHeight="1">
      <c r="A103" s="3"/>
      <c r="B103" s="313" t="str">
        <f>'ORC DOM_2025'!A72</f>
        <v>Material escolar</v>
      </c>
      <c r="C103" s="314">
        <f>'ORC DOM_2025'!Z72</f>
        <v>0</v>
      </c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21"/>
    </row>
    <row r="104" ht="12.75" customHeight="1">
      <c r="A104" s="315"/>
      <c r="B104" s="313" t="str">
        <f>'ORC DOM_2025'!A73</f>
        <v>Higiene Pessoal (unha, depilação etc.)</v>
      </c>
      <c r="C104" s="314">
        <f>'ORC DOM_2025'!Z73</f>
        <v>400</v>
      </c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21"/>
    </row>
    <row r="105" ht="12.75" customHeight="1">
      <c r="A105" s="315"/>
      <c r="B105" s="313" t="str">
        <f>'ORC DOM_2025'!A74</f>
        <v>Cosméticos</v>
      </c>
      <c r="C105" s="314">
        <f>'ORC DOM_2025'!Z74</f>
        <v>500</v>
      </c>
      <c r="D105" s="32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21"/>
    </row>
    <row r="106" ht="12.75" customHeight="1">
      <c r="A106" s="315"/>
      <c r="B106" s="313" t="str">
        <f>'ORC DOM_2025'!A75</f>
        <v>Cabeleireiro</v>
      </c>
      <c r="C106" s="314">
        <f>'ORC DOM_2025'!Z75</f>
        <v>240</v>
      </c>
      <c r="D106" s="32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21"/>
    </row>
    <row r="107" ht="12.75" customHeight="1">
      <c r="A107" s="315"/>
      <c r="B107" s="313" t="str">
        <f>'ORC DOM_2025'!A76</f>
        <v>Vestuário</v>
      </c>
      <c r="C107" s="314">
        <f>'ORC DOM_2025'!Z76</f>
        <v>1200</v>
      </c>
      <c r="D107" s="32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21"/>
    </row>
    <row r="108" ht="12.75" customHeight="1">
      <c r="A108" s="315"/>
      <c r="B108" s="313" t="str">
        <f>'ORC DOM_2025'!A77</f>
        <v>Academia Sophia</v>
      </c>
      <c r="C108" s="314">
        <f>'ORC DOM_2025'!Z77</f>
        <v>385</v>
      </c>
      <c r="D108" s="32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21"/>
    </row>
    <row r="109" ht="12.75" customHeight="1">
      <c r="A109" s="315"/>
      <c r="B109" s="313" t="str">
        <f>'ORC DOM_2025'!A78</f>
        <v>Seguro de Vida</v>
      </c>
      <c r="C109" s="314">
        <f>'ORC DOM_2025'!Z78</f>
        <v>0</v>
      </c>
      <c r="D109" s="32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21"/>
    </row>
    <row r="110" ht="12.75" customHeight="1">
      <c r="A110" s="315"/>
      <c r="B110" s="313" t="str">
        <f>'ORC DOM_2025'!A80</f>
        <v>Outros - cama (cartão)</v>
      </c>
      <c r="C110" s="314">
        <f>'ORC DOM_2025'!Z80</f>
        <v>897.86</v>
      </c>
      <c r="D110" s="32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21"/>
    </row>
    <row r="111" ht="12.75" customHeight="1">
      <c r="A111" s="315"/>
      <c r="B111" s="316"/>
      <c r="C111" s="317"/>
      <c r="D111" s="32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21"/>
    </row>
    <row r="112" ht="12.75" customHeight="1">
      <c r="A112" s="3"/>
      <c r="B112" s="321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21"/>
    </row>
    <row r="113" ht="12.75" customHeight="1">
      <c r="A113" s="3"/>
      <c r="B113" s="312" t="str">
        <f>'ORC DOM_2025'!A83</f>
        <v>EDUCAÇÃO</v>
      </c>
      <c r="C113" s="325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21"/>
    </row>
    <row r="114" ht="12.75" customHeight="1">
      <c r="A114" s="315"/>
      <c r="B114" s="313" t="str">
        <f>'ORC DOM_2025'!A84</f>
        <v>Cursos Extra Curriculares</v>
      </c>
      <c r="C114" s="314">
        <f>'ORC DOM_2025'!Z84</f>
        <v>0</v>
      </c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21"/>
    </row>
    <row r="115" ht="12.75" customHeight="1">
      <c r="A115" s="315"/>
      <c r="B115" s="313" t="str">
        <f>'ORC DOM_2025'!A85</f>
        <v>Ingles</v>
      </c>
      <c r="C115" s="314">
        <f>'ORC DOM_2025'!Z85</f>
        <v>660</v>
      </c>
      <c r="D115" s="32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21"/>
    </row>
    <row r="116" ht="12.75" customHeight="1">
      <c r="A116" s="315"/>
      <c r="B116" s="313" t="str">
        <f>'ORC DOM_2025'!#REF!</f>
        <v>#ERROR!</v>
      </c>
      <c r="C116" s="314" t="str">
        <f>'ORC DOM_2025'!#REF!</f>
        <v>#ERROR!</v>
      </c>
      <c r="D116" s="32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21"/>
    </row>
    <row r="117" ht="12.75" customHeight="1">
      <c r="A117" s="315"/>
      <c r="B117" s="321"/>
      <c r="C117" s="240"/>
      <c r="D117" s="32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21"/>
    </row>
    <row r="118" ht="12.75" customHeight="1">
      <c r="A118" s="3"/>
      <c r="B118" s="312" t="str">
        <f>'ORC DOM_2025'!A89</f>
        <v>LAZER</v>
      </c>
      <c r="C118" s="325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21"/>
    </row>
    <row r="119" ht="12.75" customHeight="1">
      <c r="A119" s="315"/>
      <c r="B119" s="313" t="str">
        <f>'ORC DOM_2025'!A90</f>
        <v>Restaurantes</v>
      </c>
      <c r="C119" s="314">
        <f>'ORC DOM_2025'!Z90</f>
        <v>240</v>
      </c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21"/>
    </row>
    <row r="120" ht="12.75" customHeight="1">
      <c r="A120" s="315"/>
      <c r="B120" s="313" t="str">
        <f>'ORC DOM_2025'!A91</f>
        <v>Cafés, bares e boates</v>
      </c>
      <c r="C120" s="314">
        <f>'ORC DOM_2025'!Z91</f>
        <v>0</v>
      </c>
      <c r="D120" s="32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21"/>
    </row>
    <row r="121" ht="12.75" customHeight="1">
      <c r="A121" s="315"/>
      <c r="B121" s="313" t="str">
        <f>'ORC DOM_2025'!A92</f>
        <v>Livraria, jornais e revistas</v>
      </c>
      <c r="C121" s="314">
        <f>'ORC DOM_2025'!Z92</f>
        <v>0</v>
      </c>
      <c r="D121" s="32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21"/>
    </row>
    <row r="122" ht="12.75" customHeight="1">
      <c r="A122" s="315"/>
      <c r="B122" s="313" t="str">
        <f>'ORC DOM_2025'!A93</f>
        <v>Spotify, música e outros</v>
      </c>
      <c r="C122" s="314">
        <f>'ORC DOM_2025'!Z93</f>
        <v>0</v>
      </c>
      <c r="D122" s="32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21"/>
    </row>
    <row r="123" ht="12.75" customHeight="1">
      <c r="A123" s="315"/>
      <c r="B123" s="313" t="str">
        <f>'ORC DOM_2025'!A94</f>
        <v>Passeios</v>
      </c>
      <c r="C123" s="314">
        <f>'ORC DOM_2025'!Z94</f>
        <v>0</v>
      </c>
      <c r="D123" s="32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21"/>
    </row>
    <row r="124" ht="12.75" customHeight="1">
      <c r="A124" s="315"/>
      <c r="B124" s="313" t="str">
        <f>'ORC DOM_2025'!A95</f>
        <v>Outros</v>
      </c>
      <c r="C124" s="314">
        <f>'ORC DOM_2025'!Z95</f>
        <v>0</v>
      </c>
      <c r="D124" s="32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21"/>
    </row>
    <row r="125" ht="12.75" customHeight="1">
      <c r="A125" s="315"/>
      <c r="B125" s="326"/>
      <c r="C125" s="317"/>
      <c r="D125" s="32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21"/>
    </row>
    <row r="126" ht="12.75" customHeight="1">
      <c r="A126" s="3"/>
      <c r="B126" s="312" t="str">
        <f>'ORC DOM_2025'!A96</f>
        <v>OUTROS</v>
      </c>
      <c r="C126" s="325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21"/>
    </row>
    <row r="127" ht="12.75" customHeight="1">
      <c r="A127" s="315"/>
      <c r="B127" s="313" t="str">
        <f>'ORC DOM_2025'!A97</f>
        <v>Tarifas Bancárias</v>
      </c>
      <c r="C127" s="314">
        <f>'ORC DOM_2025'!Z97</f>
        <v>16.64</v>
      </c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21"/>
    </row>
    <row r="128" ht="12.75" customHeight="1">
      <c r="A128" s="315"/>
      <c r="B128" s="313" t="str">
        <f>'ORC DOM_2025'!A98</f>
        <v>Ajuda aos pais</v>
      </c>
      <c r="C128" s="314">
        <f>'ORC DOM_2025'!Z98</f>
        <v>0</v>
      </c>
      <c r="D128" s="32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21"/>
    </row>
    <row r="129" ht="12.75" customHeight="1">
      <c r="A129" s="315"/>
      <c r="B129" s="313" t="str">
        <f>'ORC DOM_2025'!A99</f>
        <v>Gorjetas / caixinhas</v>
      </c>
      <c r="C129" s="314">
        <f>'ORC DOM_2025'!Z99</f>
        <v>0</v>
      </c>
      <c r="D129" s="32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21"/>
    </row>
    <row r="130" ht="12.75" customHeight="1">
      <c r="A130" s="315"/>
      <c r="B130" s="313" t="str">
        <f>'ORC DOM_2025'!A100</f>
        <v>Doações e dízimos</v>
      </c>
      <c r="C130" s="314">
        <f>'ORC DOM_2025'!Z100</f>
        <v>0</v>
      </c>
      <c r="D130" s="32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21"/>
    </row>
    <row r="131" ht="12.75" customHeight="1">
      <c r="A131" s="315"/>
      <c r="B131" s="313" t="str">
        <f>'ORC DOM_2025'!A101</f>
        <v>Extras diários</v>
      </c>
      <c r="C131" s="314">
        <f>'ORC DOM_2025'!Z101</f>
        <v>0</v>
      </c>
      <c r="D131" s="32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21"/>
    </row>
    <row r="132" ht="12.75" customHeight="1">
      <c r="A132" s="315"/>
      <c r="B132" s="313" t="str">
        <f>'ORC DOM_2025'!A102</f>
        <v>Manutenção e reparos</v>
      </c>
      <c r="C132" s="314">
        <f>'ORC DOM_2025'!Z102</f>
        <v>0</v>
      </c>
      <c r="D132" s="32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21"/>
    </row>
    <row r="133" ht="12.75" customHeight="1">
      <c r="A133" s="315"/>
      <c r="B133" s="313" t="str">
        <f>'ORC DOM_2025'!A103</f>
        <v>Médicos e terapeutas esporádicos</v>
      </c>
      <c r="C133" s="314">
        <f>'ORC DOM_2025'!Z103</f>
        <v>0</v>
      </c>
      <c r="D133" s="32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21"/>
    </row>
    <row r="134" ht="12.75" customHeight="1">
      <c r="A134" s="315"/>
      <c r="B134" s="313" t="str">
        <f>'ORC DOM_2025'!A104</f>
        <v>Remédios </v>
      </c>
      <c r="C134" s="314">
        <f>'ORC DOM_2025'!Z104</f>
        <v>0</v>
      </c>
      <c r="D134" s="32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21"/>
    </row>
    <row r="135" ht="12.75" customHeight="1">
      <c r="A135" s="315"/>
      <c r="B135" s="313" t="str">
        <f>'ORC DOM_2025'!A105</f>
        <v>Dedetização</v>
      </c>
      <c r="C135" s="314">
        <f>'ORC DOM_2025'!Z105</f>
        <v>0</v>
      </c>
      <c r="D135" s="32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21"/>
    </row>
    <row r="136" ht="12.75" customHeight="1">
      <c r="A136" s="315"/>
      <c r="B136" s="313" t="str">
        <f>'ORC DOM_2025'!A106</f>
        <v>Presente de Natal</v>
      </c>
      <c r="C136" s="314">
        <f>'ORC DOM_2025'!Z106</f>
        <v>0</v>
      </c>
      <c r="D136" s="32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21"/>
    </row>
    <row r="137" ht="12.75" customHeight="1">
      <c r="A137" s="315"/>
      <c r="B137" s="313" t="str">
        <f>'ORC DOM_2025'!A107</f>
        <v>Presentes do Mês</v>
      </c>
      <c r="C137" s="314">
        <f>'ORC DOM_2025'!Z107</f>
        <v>0</v>
      </c>
      <c r="D137" s="32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21"/>
    </row>
    <row r="138" ht="12.75" customHeight="1">
      <c r="A138" s="315"/>
      <c r="B138" s="313" t="str">
        <f>'ORC DOM_2025'!A108</f>
        <v>Utilidades domésticas e decoração</v>
      </c>
      <c r="C138" s="314">
        <f>'ORC DOM_2025'!Z108</f>
        <v>0</v>
      </c>
      <c r="D138" s="32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21"/>
    </row>
    <row r="139" ht="12.75" customHeight="1">
      <c r="A139" s="315"/>
      <c r="B139" s="313" t="str">
        <f>'ORC DOM_2025'!A109</f>
        <v>Manutenção Veículo</v>
      </c>
      <c r="C139" s="314">
        <f>'ORC DOM_2025'!Z109</f>
        <v>0</v>
      </c>
      <c r="D139" s="32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21"/>
    </row>
    <row r="140" ht="12.75" customHeight="1">
      <c r="A140" s="315"/>
      <c r="B140" s="313" t="str">
        <f>'ORC DOM_2025'!A110</f>
        <v>Outros</v>
      </c>
      <c r="C140" s="314">
        <f>'ORC DOM_2025'!Z110</f>
        <v>260</v>
      </c>
      <c r="D140" s="32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21"/>
    </row>
    <row r="141" ht="12.75" customHeight="1">
      <c r="A141" s="315"/>
      <c r="B141" s="316"/>
      <c r="C141" s="317"/>
      <c r="D141" s="32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21"/>
    </row>
    <row r="142" ht="12.75" customHeight="1">
      <c r="A142" s="3"/>
      <c r="B142" s="3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21"/>
    </row>
    <row r="143" ht="12.75" customHeight="1">
      <c r="A143" s="3"/>
      <c r="B143" s="3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21"/>
    </row>
    <row r="144" ht="12.75" customHeight="1">
      <c r="A144" s="3"/>
      <c r="B144" s="3"/>
      <c r="C144" s="318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21"/>
    </row>
    <row r="145" ht="12.75" customHeight="1">
      <c r="A145" s="3"/>
      <c r="B145" s="311"/>
      <c r="C145" s="319" t="s">
        <v>237</v>
      </c>
      <c r="D145" s="319" t="s">
        <v>238</v>
      </c>
      <c r="E145" s="319" t="s">
        <v>239</v>
      </c>
      <c r="F145" s="319" t="s">
        <v>240</v>
      </c>
      <c r="G145" s="319" t="s">
        <v>241</v>
      </c>
      <c r="H145" s="319" t="s">
        <v>242</v>
      </c>
      <c r="I145" s="319" t="s">
        <v>243</v>
      </c>
      <c r="J145" s="319" t="s">
        <v>244</v>
      </c>
      <c r="K145" s="319" t="s">
        <v>245</v>
      </c>
      <c r="L145" s="319" t="s">
        <v>246</v>
      </c>
      <c r="M145" s="319" t="s">
        <v>247</v>
      </c>
      <c r="N145" s="319" t="s">
        <v>248</v>
      </c>
      <c r="O145" s="319" t="s">
        <v>249</v>
      </c>
      <c r="P145" s="221"/>
    </row>
    <row r="146" ht="12.75" customHeight="1">
      <c r="A146" s="3"/>
      <c r="B146" s="313" t="str">
        <f>'ORC DOM_2025'!A20</f>
        <v>Renda Total</v>
      </c>
      <c r="C146" s="314">
        <f>'ORC DOM_2025'!C20</f>
        <v>2006.67</v>
      </c>
      <c r="D146" s="314">
        <f>'ORC DOM_2025'!E20</f>
        <v>2712.67</v>
      </c>
      <c r="E146" s="314">
        <f>'ORC DOM_2025'!G20</f>
        <v>2763.27</v>
      </c>
      <c r="F146" s="314">
        <f>'ORC DOM_2025'!I20</f>
        <v>2609.67</v>
      </c>
      <c r="G146" s="314">
        <f>'ORC DOM_2025'!K20</f>
        <v>0</v>
      </c>
      <c r="H146" s="314">
        <f>'ORC DOM_2025'!M20</f>
        <v>0</v>
      </c>
      <c r="I146" s="314">
        <f>'ORC DOM_2025'!O20</f>
        <v>0</v>
      </c>
      <c r="J146" s="314">
        <f>'ORC DOM_2025'!Q20</f>
        <v>1000</v>
      </c>
      <c r="K146" s="314">
        <f>'ORC DOM_2025'!S20</f>
        <v>0</v>
      </c>
      <c r="L146" s="314">
        <f>'ORC DOM_2025'!U20</f>
        <v>0</v>
      </c>
      <c r="M146" s="314">
        <f>'ORC DOM_2025'!W20</f>
        <v>1000</v>
      </c>
      <c r="N146" s="314">
        <f>'ORC DOM_2025'!Y20</f>
        <v>0</v>
      </c>
      <c r="O146" s="314">
        <f>SUM(C146:N146)</f>
        <v>12092.28</v>
      </c>
      <c r="P146" s="221"/>
    </row>
    <row r="147" ht="12.75" customHeight="1">
      <c r="A147" s="315"/>
      <c r="B147" s="313" t="str">
        <f>'ORC DOM_2025'!A113</f>
        <v>Total Despesas </v>
      </c>
      <c r="C147" s="314">
        <f>-'ORC DOM_2025'!C113</f>
        <v>-2028.935</v>
      </c>
      <c r="D147" s="314">
        <f>-'ORC DOM_2025'!E113</f>
        <v>-2725.435</v>
      </c>
      <c r="E147" s="314">
        <f>-'ORC DOM_2025'!G113</f>
        <v>-2825.435</v>
      </c>
      <c r="F147" s="314">
        <f>-'ORC DOM_2025'!I113</f>
        <v>-2720.435</v>
      </c>
      <c r="G147" s="314">
        <f>-'ORC DOM_2025'!K113</f>
        <v>-2442.81</v>
      </c>
      <c r="H147" s="314">
        <f>-'ORC DOM_2025'!M113</f>
        <v>-2584.81</v>
      </c>
      <c r="I147" s="314">
        <f>-'ORC DOM_2025'!O113</f>
        <v>-2404.81</v>
      </c>
      <c r="J147" s="314">
        <f>-'ORC DOM_2025'!Q113</f>
        <v>-3579.72</v>
      </c>
      <c r="K147" s="314">
        <f>-'ORC DOM_2025'!S113</f>
        <v>-2229.81</v>
      </c>
      <c r="L147" s="314">
        <f>-'ORC DOM_2025'!U113</f>
        <v>-2547.31</v>
      </c>
      <c r="M147" s="314">
        <f>-'ORC DOM_2025'!W113</f>
        <v>-3320.81</v>
      </c>
      <c r="N147" s="314">
        <f>-'ORC DOM_2025'!Y113</f>
        <v>-2433.81</v>
      </c>
      <c r="O147" s="314">
        <f>-'ORC DOM_2025'!Z113</f>
        <v>-31844.13</v>
      </c>
      <c r="P147" s="221"/>
    </row>
    <row r="148" ht="12.75" customHeight="1">
      <c r="A148" s="315"/>
      <c r="B148" s="313" t="s">
        <v>307</v>
      </c>
      <c r="C148" s="314">
        <f t="shared" ref="C148:O148" si="18">C146+C147</f>
        <v>-22.265</v>
      </c>
      <c r="D148" s="314">
        <f t="shared" si="18"/>
        <v>-12.765</v>
      </c>
      <c r="E148" s="314">
        <f t="shared" si="18"/>
        <v>-62.165</v>
      </c>
      <c r="F148" s="314">
        <f t="shared" si="18"/>
        <v>-110.765</v>
      </c>
      <c r="G148" s="314">
        <f t="shared" si="18"/>
        <v>-2442.81</v>
      </c>
      <c r="H148" s="314">
        <f t="shared" si="18"/>
        <v>-2584.81</v>
      </c>
      <c r="I148" s="314">
        <f t="shared" si="18"/>
        <v>-2404.81</v>
      </c>
      <c r="J148" s="314">
        <f t="shared" si="18"/>
        <v>-2579.72</v>
      </c>
      <c r="K148" s="314">
        <f t="shared" si="18"/>
        <v>-2229.81</v>
      </c>
      <c r="L148" s="314">
        <f t="shared" si="18"/>
        <v>-2547.31</v>
      </c>
      <c r="M148" s="314">
        <f t="shared" si="18"/>
        <v>-2320.81</v>
      </c>
      <c r="N148" s="314">
        <f t="shared" si="18"/>
        <v>-2433.81</v>
      </c>
      <c r="O148" s="314">
        <f t="shared" si="18"/>
        <v>-19751.85</v>
      </c>
      <c r="P148" s="221"/>
    </row>
    <row r="149" ht="12.75" customHeight="1">
      <c r="A149" s="315"/>
      <c r="C149" s="221"/>
      <c r="P149" s="221"/>
    </row>
    <row r="150" ht="12.75" customHeight="1"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</row>
    <row r="151" ht="12.75" customHeight="1"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</row>
    <row r="152" ht="12.75" customHeight="1"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</row>
    <row r="153" ht="12.75" customHeight="1"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</row>
    <row r="154" ht="12.75" customHeight="1"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</row>
    <row r="155" ht="12.75" customHeight="1"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</row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I4"/>
    <mergeCell ref="B5:I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2021-06-25T13:10:03Z</dcterms:created>
  <dc:creator>CAN UP</dc:creator>
</cp:coreProperties>
</file>